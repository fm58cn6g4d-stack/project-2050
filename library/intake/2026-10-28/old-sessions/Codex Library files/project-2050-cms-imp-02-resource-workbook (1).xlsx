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cac372ab894f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lot" sheetId="1" r:id="R91db1d36aa3e4575"/>
    <x:sheet xmlns:r="http://schemas.openxmlformats.org/officeDocument/2006/relationships" name="Baseline" sheetId="2" r:id="R54e7cb393c664f25"/>
    <x:sheet xmlns:r="http://schemas.openxmlformats.org/officeDocument/2006/relationships" name="Cost bridge" sheetId="3" r:id="R25b61e414903484d"/>
    <x:sheet xmlns:r="http://schemas.openxmlformats.org/officeDocument/2006/relationships" name="Work and review" sheetId="4" r:id="Rc9d78bbabc684b05"/>
    <x:sheet xmlns:r="http://schemas.openxmlformats.org/officeDocument/2006/relationships" name="Resources" sheetId="5" r:id="R9fd04d011d314088"/>
    <x:sheet xmlns:r="http://schemas.openxmlformats.org/officeDocument/2006/relationships" name="Observations" sheetId="6" r:id="R33e5a3b0255f4b74"/>
    <x:sheet xmlns:r="http://schemas.openxmlformats.org/officeDocument/2006/relationships" name="Program map" sheetId="7" r:id="R81ae2cbb78a146b6"/>
    <x:sheet xmlns:r="http://schemas.openxmlformats.org/officeDocument/2006/relationships" name="Evidence" sheetId="8" r:id="Re1020fa568db4d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0;(#,##0.00);0.00"/>
    <x:numFmt numFmtId="201" formatCode="&quot;$&quot;#,##0.000,,&quot;m&quot;;(&quot;$&quot;#,##0.000,,&quot;m&quot;);&quot;$0.000m&quot;"/>
    <x:numFmt numFmtId="202" formatCode="#,##0"/>
    <x:numFmt numFmtId="203" formatCode="#,##0.00"/>
    <x:numFmt numFmtId="204" formatCode="0.0%"/>
    <x:numFmt numFmtId="205" formatCode="&quot;$&quot;#,##0.000,,&quot;m&quot;;(&quot;$&quot;#,##0.000,,&quot;m&quot;)"/>
    <x:numFmt numFmtId="206" formatCode="0"/>
  </x:numFmts>
  <x:fonts count="12">
    <x:font>
      <x:sz val="11"/>
      <x:name val="Carlito"/>
    </x:font>
    <x:font>
      <x:sz val="11"/>
      <x:color rgb="FF183247"/>
      <x:name val="Arial"/>
    </x:font>
    <x:font>
      <x:b/>
      <x:sz val="16"/>
      <x:color rgb="FF213F59"/>
      <x:name val="Arial"/>
    </x:font>
    <x:font>
      <x:b/>
      <x:sz val="11"/>
      <x:color rgb="FFFFFFFF"/>
      <x:name val="Arial"/>
    </x:font>
    <x:font>
      <x:sz val="11"/>
      <x:color rgb="FF1356A2"/>
      <x:name val="Arial"/>
    </x:font>
    <x:font>
      <x:b/>
      <x:sz val="11"/>
      <x:color rgb="FF213F59"/>
      <x:name val="Arial"/>
    </x:font>
    <x:font>
      <x:sz val="11"/>
      <x:color rgb="FF207347"/>
      <x:name val="Arial"/>
    </x:font>
    <x:font>
      <x:b/>
      <x:sz val="11"/>
      <x:color rgb="FF207347"/>
      <x:name val="Arial"/>
    </x:font>
    <x:font>
      <x:b/>
      <x:sz val="11"/>
      <x:color rgb="FF213F59"/>
      <x:name val="Carlito"/>
    </x:font>
    <x:font>
      <x:b/>
      <x:sz val="11"/>
      <x:color rgb="FFFFFFFF"/>
      <x:name val="Carlito"/>
    </x:font>
    <x:font>
      <x:sz val="11"/>
      <x:color rgb="FF1356A2"/>
      <x:name val="Carlito"/>
    </x:font>
    <x:font>
      <x:sz val="11"/>
      <x:color rgb="FF000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13F59"/>
      </x:patternFill>
    </x:fill>
    <x:fill>
      <x:patternFill patternType="solid">
        <x:fgColor rgb="FFF2F5F8"/>
      </x:patternFill>
    </x:fill>
    <x:fill>
      <x:patternFill patternType="solid">
        <x:fgColor rgb="FFEAF0F5"/>
      </x:patternFill>
    </x:fill>
    <x:fill>
      <x:patternFill patternType="solid">
        <x:fgColor rgb="FFFFF1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200" fontId="4" fillId="3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/>
    <x:xf numFmtId="202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/>
    <x:xf numFmtId="203" fontId="1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7" fillId="4" borderId="0" xfId="0" applyNumberFormat="1" applyFont="1" applyFill="1" applyBorder="1"/>
    <x:xf numFmtId="202" fontId="6" fillId="0" borderId="0" xfId="0" applyNumberFormat="1" applyFont="1" applyFill="1" applyBorder="1" applyAlignment="1">
      <x:alignment vertical="center" wrapText="1"/>
    </x:xf>
    <x:xf numFmtId="203" fontId="6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/>
    <x:xf numFmtId="204" fontId="1" fillId="0" borderId="0" xfId="0" applyNumberFormat="1" applyFont="1" applyFill="1" applyBorder="1" applyAlignment="1">
      <x:alignment wrapText="1"/>
    </x:xf>
    <x:xf numFmtId="204" fontId="1" fillId="0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/>
    <x:xf numFmtId="205" fontId="1" fillId="0" borderId="0" xfId="0" applyNumberFormat="1" applyFont="1" applyFill="1" applyBorder="1" applyAlignment="1">
      <x:alignment wrapText="1"/>
    </x:xf>
    <x:xf numFmtId="205" fontId="1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0" fillId="2" borderId="0" xfId="0" applyNumberFormat="1" applyFont="1" applyFill="1" applyBorder="1"/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10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4" fillId="5" borderId="0" xfId="0" applyNumberFormat="1" applyFont="1" applyFill="1" applyBorder="1" applyAlignment="1">
      <x:alignment wrapText="1"/>
    </x:xf>
    <x:xf numFmtId="201" fontId="10" fillId="5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6" fontId="1" fillId="0" borderId="0" xfId="0" applyNumberFormat="1" applyFont="1" applyFill="1" applyBorder="1"/>
    <x:xf numFmtId="206" fontId="1" fillId="0" borderId="0" xfId="0" applyNumberFormat="1" applyFont="1" applyFill="1" applyBorder="1" applyAlignment="1">
      <x:alignment wrapText="1"/>
    </x:xf>
    <x:xf numFmtId="206" fontId="1" fillId="0" borderId="0" xfId="0" applyNumberFormat="1" applyFont="1" applyFill="1" applyBorder="1" applyAlignment="1">
      <x:alignment vertical="center" wrapText="1"/>
    </x:xf>
    <x:xf numFmtId="201" fontId="1" fillId="5" borderId="0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1" fillId="5" borderId="0" xfId="0" applyNumberFormat="1" applyFont="1" applyFill="1" applyBorder="1" applyAlignment="1">
      <x:alignment wrapText="1"/>
    </x:xf>
    <x:xf numFmtId="204" fontId="0" fillId="5" borderId="0" xfId="0" applyNumberFormat="1" applyFont="1" applyFill="1" applyBorder="1" applyAlignment="1">
      <x:alignment wrapText="1"/>
    </x:xf>
    <x:xf numFmtId="204" fontId="4" fillId="5" borderId="0" xfId="0" applyNumberFormat="1" applyFont="1" applyFill="1" applyBorder="1" applyAlignment="1">
      <x:alignment wrapText="1"/>
    </x:xf>
    <x:xf numFmtId="204" fontId="10" fillId="5" borderId="0" xfId="0" applyNumberFormat="1" applyFont="1" applyFill="1" applyBorder="1" applyAlignment="1">
      <x:alignment wrapText="1"/>
    </x:xf>
    <x:xf numFmtId="201" fontId="11" fillId="5" borderId="0" xfId="0" applyNumberFormat="1" applyFont="1" applyFill="1" applyBorder="1" applyAlignment="1">
      <x:alignment wrapText="1"/>
    </x:xf>
    <x:xf numFmtId="201" fontId="1" fillId="5" borderId="0" xfId="0" applyNumberFormat="1" applyFont="1" applyFill="1" applyBorder="1" applyAlignment="1">
      <x:alignment vertical="center" wrapText="1"/>
    </x:xf>
    <x:xf numFmtId="201" fontId="4" fillId="5" borderId="0" xfId="0" applyNumberFormat="1" applyFont="1" applyFill="1" applyBorder="1" applyAlignment="1">
      <x:alignment vertical="center" wrapText="1"/>
    </x:xf>
    <x:xf numFmtId="202" fontId="1" fillId="5" borderId="0" xfId="0" applyNumberFormat="1" applyFont="1" applyFill="1" applyBorder="1" applyAlignment="1">
      <x:alignment vertical="center" wrapText="1"/>
    </x:xf>
    <x:xf numFmtId="202" fontId="4" fillId="5" borderId="0" xfId="0" applyNumberFormat="1" applyFont="1" applyFill="1" applyBorder="1" applyAlignment="1">
      <x:alignment vertical="center" wrapText="1"/>
    </x:xf>
    <x:xf numFmtId="204" fontId="1" fillId="5" borderId="0" xfId="0" applyNumberFormat="1" applyFont="1" applyFill="1" applyBorder="1" applyAlignment="1">
      <x:alignment vertical="center" wrapText="1"/>
    </x:xf>
    <x:xf numFmtId="204" fontId="4" fillId="5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right" vertical="top" wrapText="1"/>
    </x:xf>
    <x:xf numFmtId="0" fontId="5" fillId="4" borderId="0" xfId="0" applyNumberFormat="1" applyFont="1" applyFill="1" applyBorder="1" applyAlignment="1">
      <x:alignment horizontal="right"/>
    </x:xf>
    <x:xf numFmtId="201" fontId="6" fillId="0" borderId="0" xfId="0" applyNumberFormat="1" applyFont="1" applyFill="1" applyBorder="1" applyAlignment="1">
      <x:alignment horizontal="right" vertical="center" wrapText="1"/>
    </x:xf>
    <x:xf numFmtId="0" fontId="6" fillId="0" borderId="0" xfId="0" applyNumberFormat="1" applyFont="1" applyFill="1" applyBorder="1" applyAlignment="1">
      <x:alignment horizontal="right"/>
    </x:xf>
    <x:xf numFmtId="0" fontId="7" fillId="4" borderId="0" xfId="0" applyNumberFormat="1" applyFont="1" applyFill="1" applyBorder="1" applyAlignment="1">
      <x:alignment horizontal="right"/>
    </x:xf>
    <x:xf numFmtId="202" fontId="6" fillId="0" borderId="0" xfId="0" applyNumberFormat="1" applyFont="1" applyFill="1" applyBorder="1" applyAlignment="1">
      <x:alignment horizontal="right" vertical="center" wrapText="1"/>
    </x:xf>
    <x:xf numFmtId="203" fontId="6" fillId="0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4" fillId="5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2" fontId="4" fillId="5" borderId="0" xfId="0" applyNumberFormat="1" applyFont="1" applyFill="1" applyBorder="1" applyAlignment="1">
      <x:alignment horizontal="right" vertical="center" wrapText="1"/>
    </x:xf>
    <x:xf numFmtId="204" fontId="1" fillId="0" borderId="0" xfId="0" applyNumberFormat="1" applyFont="1" applyFill="1" applyBorder="1" applyAlignment="1">
      <x:alignment horizontal="right" vertical="center" wrapText="1"/>
    </x:xf>
    <x:xf numFmtId="204" fontId="4" fillId="5" borderId="0" xfId="0" applyNumberFormat="1" applyFont="1" applyFill="1" applyBorder="1" applyAlignment="1">
      <x:alignment horizontal="right" vertical="center" wrapText="1"/>
    </x:xf>
    <x:xf numFmtId="205" fontId="1" fillId="0" borderId="0" xfId="0" applyNumberFormat="1" applyFont="1" applyFill="1" applyBorder="1" applyAlignment="1">
      <x:alignment horizontal="right" vertical="center" wrapText="1"/>
    </x:xf>
    <x:xf numFmtId="0" fontId="3" fillId="2" borderId="0" xfId="0" applyNumberFormat="1" applyFont="1" applyFill="1" applyBorder="1" applyAlignment="1">
      <x:alignment horizontal="right" wrapText="1"/>
    </x:xf>
    <x:xf numFmtId="201" fontId="4" fillId="5" borderId="0" xfId="0" applyNumberFormat="1" applyFont="1" applyFill="1" applyBorder="1" applyAlignment="1">
      <x:alignment horizontal="right" wrapText="1"/>
    </x:xf>
    <x:xf numFmtId="201" fontId="11" fillId="5" borderId="0" xfId="0" applyNumberFormat="1" applyFont="1" applyFill="1" applyBorder="1" applyAlignment="1">
      <x:alignment horizontal="right" wrapText="1"/>
    </x:xf>
    <x:xf numFmtId="206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3">
    <x:dxf>
      <x:font>
        <x:b/>
        <x:color rgb="FFA02A2A"/>
      </x:font>
      <x:fill>
        <x:patternFill patternType="solid">
          <x:bgColor rgb="FFFCE4E4"/>
        </x:patternFill>
      </x:fill>
    </x:dxf>
    <x:dxf>
      <x:font>
        <x:b/>
        <x:color rgb="FFA02A2A"/>
      </x:font>
      <x:fill>
        <x:patternFill patternType="solid">
          <x:bgColor rgb="FFFFF1CC"/>
        </x:patternFill>
      </x:fill>
    </x:dxf>
    <x:dxf>
      <x:font>
        <x:color rgb="FFA02A2A"/>
      </x:font>
      <x:fill>
        <x:patternFill patternType="solid"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8dd2fa4a0f4861" /><Relationship Type="http://schemas.openxmlformats.org/officeDocument/2006/relationships/theme" Target="/xl/theme/theme1.xml" Id="R14aa722ec9704307" /><Relationship Type="http://schemas.openxmlformats.org/officeDocument/2006/relationships/sharedStrings" Target="/xl/sharedStrings.xml" Id="Ra034a5428e194d29" /><Relationship Type="http://schemas.openxmlformats.org/officeDocument/2006/relationships/worksheet" Target="/xl/worksheets/sheet1.xml" Id="R91db1d36aa3e4575" /><Relationship Type="http://schemas.openxmlformats.org/officeDocument/2006/relationships/worksheet" Target="/xl/worksheets/sheet2.xml" Id="R54e7cb393c664f25" /><Relationship Type="http://schemas.openxmlformats.org/officeDocument/2006/relationships/worksheet" Target="/xl/worksheets/sheet3.xml" Id="R25b61e414903484d" /><Relationship Type="http://schemas.openxmlformats.org/officeDocument/2006/relationships/worksheet" Target="/xl/worksheets/sheet4.xml" Id="Rc9d78bbabc684b05" /><Relationship Type="http://schemas.openxmlformats.org/officeDocument/2006/relationships/worksheet" Target="/xl/worksheets/sheet5.xml" Id="R9fd04d011d314088" /><Relationship Type="http://schemas.openxmlformats.org/officeDocument/2006/relationships/worksheet" Target="/xl/worksheets/sheet6.xml" Id="R33e5a3b0255f4b74" /><Relationship Type="http://schemas.openxmlformats.org/officeDocument/2006/relationships/worksheet" Target="/xl/worksheets/sheet7.xml" Id="R81ae2cbb78a146b6" /><Relationship Type="http://schemas.openxmlformats.org/officeDocument/2006/relationships/worksheet" Target="/xl/worksheets/sheet8.xml" Id="Re1020fa568db4d01" /></Relationships>
</file>

<file path=xl/tables/table1.xml><?xml version="1.0" encoding="utf-8"?>
<x:table xmlns:x="http://schemas.openxmlformats.org/spreadsheetml/2006/main" id="5" name="DeliveryworkandreviewTable" displayName="DeliveryworkandreviewTable" ref="A5:L13" headerRowCount="1" totalsRowCount="0" totalsRowShown="0">
  <x:autoFilter ref="A5:L13"/>
  <x:tableColumns count="12">
    <x:tableColumn id="1" name="Local task key"/>
    <x:tableColumn id="2" name="Existing work-package ID"/>
    <x:tableColumn id="3" name="Policy IDs"/>
    <x:tableColumn id="4" name="Required work"/>
    <x:tableColumn id="5" name="Proposed responsible owner"/>
    <x:tableColumn id="6" name="Deliverable / boundary"/>
    <x:tableColumn id="7" name="Dependency"/>
    <x:tableColumn id="8" name="Schedule / target"/>
    <x:tableColumn id="9" name="Evidence of readiness"/>
    <x:tableColumn id="10" name="Resources / funding question"/>
    <x:tableColumn id="11" name="Evidence / observation IDs"/>
    <x:tableColumn id="12" name="Finding ty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WorkforcecontractsandsystemsTable" displayName="WorkforcecontractsandsystemsTable" ref="A5:K15" headerRowCount="1" totalsRowCount="0" totalsRowShown="0">
  <x:autoFilter ref="A5:K15"/>
  <x:tableColumns count="11">
    <x:tableColumn id="1" name="Resource ID"/>
    <x:tableColumn id="2" name="Program ID"/>
    <x:tableColumn id="3" name="Work package"/>
    <x:tableColumn id="4" name="Resource"/>
    <x:tableColumn id="5" name="Measure type"/>
    <x:tableColumn id="6" name="Observation / capability"/>
    <x:tableColumn id="7" name="Evidence / observation IDs"/>
    <x:tableColumn id="8" name="Reuse status"/>
    <x:tableColumn id="9" name="Missing evidence / restriction"/>
    <x:tableColumn id="10" name="Proposed review owner"/>
    <x:tableColumn id="11" name="Cost / boundary implic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SourceobservationsTable" displayName="SourceobservationsTable" ref="A5:Q90" headerRowCount="1" totalsRowCount="0" totalsRowShown="0">
  <x:autoFilter ref="A5:Q90"/>
  <x:tableColumns count="17">
    <x:tableColumn id="1" name="Observation ID"/>
    <x:tableColumn id="2" name="Program ID"/>
    <x:tableColumn id="3" name="Published item"/>
    <x:tableColumn id="4" name="Original value"/>
    <x:tableColumn id="5" name="Original unit"/>
    <x:tableColumn id="6" name="USD multiplier"/>
    <x:tableColumn id="7" name="USD equivalent"/>
    <x:tableColumn id="8" name="Fiscal/reporting period"/>
    <x:tableColumn id="9" name="Source vintage"/>
    <x:tableColumn id="10" name="Status"/>
    <x:tableColumn id="11" name="Measure"/>
    <x:tableColumn id="12" name="Scope / restriction"/>
    <x:tableColumn id="13" name="Additivity group"/>
    <x:tableColumn id="14" name="Parent / non-add link"/>
    <x:tableColumn id="15" name="Evidence ID"/>
    <x:tableColumn id="16" name="Source location"/>
    <x:tableColumn id="17" name="Source 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ProgramsandaccountsTable" displayName="ProgramsandaccountsTable" ref="A5:I13" headerRowCount="1" totalsRowCount="0" totalsRowShown="0">
  <x:autoFilter ref="A5:I13"/>
  <x:tableColumns count="9">
    <x:tableColumn id="1" name="Program ID"/>
    <x:tableColumn id="2" name="Program / function"/>
    <x:tableColumn id="3" name="Organizations"/>
    <x:tableColumn id="4" name="Account / legal identity"/>
    <x:tableColumn id="5" name="Funding mechanism"/>
    <x:tableColumn id="6" name="Delivery scope"/>
    <x:tableColumn id="7" name="Existing work-package IDs"/>
    <x:tableColumn id="8" name="Evidence IDs"/>
    <x:tableColumn id="9" name="Restrictions / unresolved identit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EvidenceandversionsTable" displayName="EvidenceandversionsTable" ref="A5:F35" headerRowCount="1" totalsRowCount="0" totalsRowShown="0">
  <x:autoFilter ref="A5:F35"/>
  <x:tableColumns count="6">
    <x:tableColumn id="1" name="Evidence ID"/>
    <x:tableColumn id="2" name="Source"/>
    <x:tableColumn id="3" name="URL / supplied filename"/>
    <x:tableColumn id="4" name="Version / retrieval date"/>
    <x:tableColumn id="5" name="Inspection extent / location"/>
    <x:tableColumn id="6" name="Lim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8b63dd50008b45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ae82bd9784454d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4f8b08c764f445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c258b887eb824e5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68d0c428e7d24f23" /></Relationships>
</file>

<file path=xl/worksheets/sheet1.xml><?xml version="1.0" encoding="utf-8"?>
<x:worksheet xmlns:x="http://schemas.openxmlformats.org/spreadsheetml/2006/main">
  <x:sheetPr>
    <x:tabColor rgb="FF213F59"/>
  </x:sheetPr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  <x:col min="3" max="3" width="78" hidden="0" customWidth="1"/>
  </x:cols>
  <x:sheetData>
    <x:row r="1">
      <x:c r="A1" s="1"/>
      <x:c r="B1" s="1"/>
      <x:c r="C1" s="1"/>
    </x:row>
    <x:row r="2">
      <x:c r="A2" s="2" t="str">
        <x:v>CMS-IMP-02 Oregon pilot</x:v>
      </x:c>
      <x:c r="B2" s="1"/>
      <x:c r="C2" s="1"/>
    </x:row>
    <x:row r="3">
      <x:c r="A3" s="1" t="str">
        <x:v>Source branch: claude/pensive-mendel-g1lwl5. Commit: e15c5c4a711b4cd2b482bac8300de45f2e08721f. Review date: October 23, 2026.</x:v>
      </x:c>
      <x:c r="B3" s="1"/>
      <x:c r="C3" s="1"/>
    </x:row>
    <x:row r="4">
      <x:c r="A4" s="1"/>
      <x:c r="B4" s="1"/>
      <x:c r="C4" s="1"/>
    </x:row>
    <x:row r="5" ht="40" customHeight="1">
      <x:c r="A5" s="7" t="str">
        <x:v>Dimension</x:v>
      </x:c>
      <x:c r="B5" s="7" t="str">
        <x:v>Result / finding</x:v>
      </x:c>
      <x:c r="C5" s="7" t="str">
        <x:v>Next evidence or decision</x:v>
      </x:c>
    </x:row>
    <x:row r="6" ht="50" customHeight="1">
      <x:c r="A6" s="9" t="str">
        <x:v>Goal alignment</x:v>
      </x:c>
      <x:c r="B6" s="9" t="str">
        <x:v>HLT-1 supports affordable, dependable coverage. Eligibility must translate into care.</x:v>
      </x:c>
      <x:c r="C6" s="9" t="str">
        <x:v>Measure continuity, correct decisions, financial protection and unmet need separately.</x:v>
      </x:c>
    </x:row>
    <x:row r="7" ht="50" customHeight="1">
      <x:c r="A7" s="8" t="str">
        <x:v>Design</x:v>
      </x:c>
      <x:c r="B7" s="8" t="str">
        <x:v>Preserve HLT-1/4 and CMS-IMP-02. Oregon tests conversion of an existing integrated system.</x:v>
      </x:c>
      <x:c r="C7" s="8" t="str">
        <x:v>Specify rule/cohort changes; national noncooperating-state coverage-gap route remains open.</x:v>
      </x:c>
    </x:row>
    <x:row r="8" ht="50" customHeight="1">
      <x:c r="A8" s="8" t="str">
        <x:v>Evidence</x:v>
      </x:c>
      <x:c r="B8" s="8" t="str">
        <x:v>85 numeric source observations; no internal APD, executed award or time study.</x:v>
      </x:c>
      <x:c r="C8" s="8" t="str">
        <x:v>Trace each amount through its observation and evidence ID; do not infer spare capacity.</x:v>
      </x:c>
    </x:row>
    <x:row r="9" ht="50" customHeight="1">
      <x:c r="A9" s="8" t="str">
        <x:v>Fiscal analysis</x:v>
      </x:c>
      <x:c r="B9" s="8" t="str">
        <x:v>Existing funding and partially comparable request reconstructed; new funding UNPRICED.</x:v>
      </x:c>
      <x:c r="C9" s="8" t="str">
        <x:v>Resolve HLT administration, available resources and state/federal cost allocations.</x:v>
      </x:c>
    </x:row>
    <x:row r="10" ht="50" customHeight="1">
      <x:c r="A10" s="8" t="str">
        <x:v>Legal route</x:v>
      </x:c>
      <x:c r="B10" s="8" t="str">
        <x:v>R1 target and full immediate surge availability remain adopted directions.</x:v>
      </x:c>
      <x:c r="C10" s="8" t="str">
        <x:v>Text-specific Byrd, jurisdiction, grant/match and data authority require specialist review.</x:v>
      </x:c>
    </x:row>
    <x:row r="11" ht="50" customHeight="1">
      <x:c r="A11" s="8" t="str">
        <x:v>Delivery</x:v>
      </x:c>
      <x:c r="B11" s="8" t="str">
        <x:v>Reuse/modification is a proposed estimating path; Hub and shared services depend on CMS-IMP-13.</x:v>
      </x:c>
      <x:c r="C11" s="8" t="str">
        <x:v>Validate releases, workload, state match, contracts and correction operations before launch.</x:v>
      </x:c>
    </x:row>
    <x:row r="12" ht="50" customHeight="1">
      <x:c r="A12" s="8" t="str">
        <x:v>Measurement</x:v>
      </x:c>
      <x:c r="B12" s="8" t="str">
        <x:v>Public call-center series has a disclosed reliability gap after phone migration.</x:v>
      </x:c>
      <x:c r="C12" s="8" t="str">
        <x:v>Repair baseline; sample approvals and denials; publish correction and access outcomes.</x:v>
      </x:c>
    </x:row>
    <x:row r="13">
      <x:c r="A13" s="1"/>
      <x:c r="B13" s="1"/>
      <x:c r="C13" s="1"/>
    </x:row>
    <x:row r="14">
      <x:c r="A14" s="1"/>
      <x:c r="B14" s="1"/>
      <x:c r="C14" s="1"/>
    </x:row>
    <x:row r="15" ht="28" customHeight="1">
      <x:c r="A15" s="18" t="str">
        <x:v>Selected reconstructed values; distinct scopes, no grand total</x:v>
      </x:c>
      <x:c r="B15" s="18"/>
      <x:c r="C15" s="18"/>
    </x:row>
    <x:row r="16" ht="40" customHeight="1">
      <x:c r="A16" s="8" t="str">
        <x:v>CMS FY2026 program level</x:v>
      </x:c>
      <x:c r="B16" s="20" t="n">
        <x:f>'Baseline'!C15</x:f>
        <x:v>7376070000</x:v>
      </x:c>
      <x:c r="C16" s="8" t="str">
        <x:v>Funding display, estimated collections; not cash or HLT capacity</x:v>
      </x:c>
    </x:row>
    <x:row r="17" ht="40" customHeight="1">
      <x:c r="A17" s="8" t="str">
        <x:v>OEP approved 2025–27</x:v>
      </x:c>
      <x:c r="B17" s="20" t="n">
        <x:f>'Baseline'!C24</x:f>
        <x:v>1064069309</x:v>
      </x:c>
      <x:c r="C17" s="8" t="str">
        <x:v>Biennial funding; not unspent balance</x:v>
      </x:c>
    </x:row>
    <x:row r="18" ht="40" customHeight="1">
      <x:c r="A18" s="8" t="str">
        <x:v>OEP 2027–29 raw request</x:v>
      </x:c>
      <x:c r="B18" s="20" t="n">
        <x:f>'Baseline'!C25</x:f>
        <x:v>4708816490</x:v>
      </x:c>
      <x:c r="C18" s="8" t="str">
        <x:v>Includes SNAP scope addition; request not enacted</x:v>
      </x:c>
    </x:row>
    <x:row r="19" ht="40" customHeight="1">
      <x:c r="A19" s="8" t="str">
        <x:v>Request less identified SNAP addition</x:v>
      </x:c>
      <x:c r="B19" s="20" t="n">
        <x:f>'Baseline'!C27</x:f>
        <x:v>1326948363</x:v>
      </x:c>
      <x:c r="C19" s="8" t="str">
        <x:v>Partial scope bridge; no full real-terms comparability claim</x:v>
      </x:c>
    </x:row>
    <x:row r="20" ht="40" customHeight="1">
      <x:c r="A20" s="8" t="str">
        <x:v>Actual new federal funding</x:v>
      </x:c>
      <x:c r="B20" s="20" t="str">
        <x:f>'Cost bridge'!C48</x:f>
        <x:v>Unpriced</x:v>
      </x:c>
      <x:c r="C20" s="8" t="str">
        <x:v>Unpriced tracked lines; no workbook result feeds fiscal inputs</x:v>
      </x:c>
    </x:row>
    <x:row r="21" ht="40" customHeight="1">
      <x:c r="A21" s="8" t="str">
        <x:v>Actual FY2029 federal cash</x:v>
      </x:c>
      <x:c r="B21" s="20" t="str">
        <x:f>'Cost bridge'!C65</x:f>
        <x:v>Unpriced</x:v>
      </x:c>
      <x:c r="C21" s="8" t="str">
        <x:v>Unpriced; immediate legal availability is not an outlay</x:v>
      </x:c>
    </x:row>
    <x:row r="22" ht="40" customHeight="1">
      <x:c r="A22" s="8" t="str">
        <x:v>Unpriced tracked cost lines</x:v>
      </x:c>
      <x:c r="B22" s="59" t="n">
        <x:f>'Cost bridge'!C49</x:f>
        <x:v>6</x:v>
      </x:c>
      <x:c r="C22" s="8" t="str">
        <x:v>Six scoped lines; no unknown converted to zero</x:v>
      </x:c>
    </x:row>
    <x:row r="23">
      <x:c r="A23" s="1"/>
      <x:c r="B23" s="1"/>
      <x:c r="C23" s="1"/>
    </x:row>
    <x:row r="24">
      <x:c r="A24" s="1"/>
      <x:c r="B24" s="1"/>
      <x:c r="C24" s="1"/>
    </x:row>
    <x:row r="25" ht="28" customHeight="1">
      <x:c r="A25" s="18" t="str">
        <x:v>Use and limits</x:v>
      </x:c>
      <x:c r="B25" s="18"/>
      <x:c r="C25" s="18"/>
    </x:row>
    <x:row r="26" ht="65" customHeight="1">
      <x:c r="A26" s="8" t="str">
        <x:v>Inputs</x:v>
      </x:c>
      <x:c r="B26" s="8" t="str">
        <x:v>Amber cells in Cost bridge and reviewer-response fields are editable.</x:v>
      </x:c>
      <x:c r="C26" s="8" t="str">
        <x:v>Blue numbers are input values; green links appear in working calculations. Blank means unknown.</x:v>
      </x:c>
    </x:row>
    <x:row r="27" ht="65" customHeight="1">
      <x:c r="A27" s="8" t="str">
        <x:v>Illustration</x:v>
      </x:c>
      <x:c r="B27" s="8" t="str">
        <x:v>Cost bridge I01–I26 tests arithmetic and allocation using invented inputs.</x:v>
      </x:c>
      <x:c r="C27" s="8" t="str">
        <x:v>It is not a project estimate, available-funding claim, state APD approval or new policy input.</x:v>
      </x:c>
    </x:row>
    <x:row r="28" ht="65" customHeight="1">
      <x:c r="A28" s="8" t="str">
        <x:v>Source versions</x:v>
      </x:c>
      <x:c r="B28" s="8" t="str">
        <x:v>Charter v13; writing guide Library v2 (header v1); bibliography JSON v1.</x:v>
      </x:c>
      <x:c r="C28" s="8" t="str">
        <x:v>codex/shared-project-authority diverges; shared instructions identical, governing file differs. Approved charter and merged surge baseline used.</x:v>
      </x:c>
    </x:row>
    <x:row r="29" ht="65" customHeight="1">
      <x:c r="A29" s="8" t="str">
        <x:v>Refresh</x:v>
      </x:c>
      <x:c r="B29" s="8" t="str">
        <x:v>Replace a source observation only after retaining its new vintage/status and scope.</x:v>
      </x:c>
      <x:c r="C29" s="8" t="str">
        <x:v>Update keyed records; extend tables/formula bounds for new rows; recheck parent/non-add groups.</x:v>
      </x:c>
    </x:row>
    <x:row r="30" ht="65" customHeight="1">
      <x:c r="A30" s="8" t="str">
        <x:v>Fiscal export</x:v>
      </x:c>
      <x:c r="B30" s="8" t="str">
        <x:v>No model-input export is authorized by these unpriced findings.</x:v>
      </x:c>
      <x:c r="C30" s="8" t="str">
        <x:v>One owner, gross/net overlap, federal/state shares, price year, obligation/cash profile and reviews required first.</x:v>
      </x:c>
    </x:row>
    <x:row r="31">
      <x:c r="A31" s="1"/>
      <x:c r="B31" s="1"/>
      <x:c r="C31" s="1"/>
    </x:row>
    <x:row r="32">
      <x:c r="A32" s="1"/>
      <x:c r="B32" s="1"/>
      <x:c r="C32" s="1"/>
    </x:row>
    <x:row r="33">
      <x:c r="A33" s="1"/>
      <x:c r="B33" s="1"/>
      <x:c r="C33" s="1"/>
    </x:row>
    <x:row r="34">
      <x:c r="A34" s="1"/>
      <x:c r="B34" s="1"/>
      <x:c r="C34" s="1"/>
    </x:row>
    <x:row r="35">
      <x:c r="A35" s="1"/>
      <x:c r="B35" s="1"/>
      <x:c r="C35" s="1"/>
    </x:row>
    <x:row r="36">
      <x:c r="A36" s="1"/>
      <x:c r="B36" s="1"/>
      <x:c r="C36" s="1"/>
    </x:row>
    <x:row r="37">
      <x:c r="A37" s="1"/>
      <x:c r="B37" s="1"/>
      <x:c r="C37" s="1"/>
    </x:row>
    <x:row r="38">
      <x:c r="A38" s="1"/>
      <x:c r="B38" s="1"/>
      <x:c r="C38" s="1"/>
    </x:row>
    <x:row r="39">
      <x:c r="A39" s="1"/>
      <x:c r="B39" s="1"/>
      <x:c r="C39" s="1"/>
    </x:row>
    <x:row r="40">
      <x:c r="A40" s="1"/>
      <x:c r="B40" s="1"/>
      <x:c r="C40" s="1"/>
    </x:row>
    <x:row r="41">
      <x:c r="A41" s="1"/>
      <x:c r="B41" s="1"/>
      <x:c r="C41" s="1"/>
    </x:row>
    <x:row r="42">
      <x:c r="A42" s="1"/>
      <x:c r="B42" s="1"/>
      <x:c r="C42" s="1"/>
    </x:row>
    <x:row r="43">
      <x:c r="A43" s="1"/>
      <x:c r="B43" s="1"/>
      <x:c r="C43" s="1"/>
    </x:row>
    <x:row r="44">
      <x:c r="A44" s="1"/>
      <x:c r="B44" s="1"/>
      <x:c r="C44" s="1"/>
    </x:row>
    <x:row r="45">
      <x:c r="A45" s="1"/>
      <x:c r="B45" s="1"/>
      <x:c r="C45" s="1"/>
    </x:row>
    <x:row r="46">
      <x:c r="A46" s="1"/>
      <x:c r="B46" s="1"/>
      <x:c r="C46" s="1"/>
    </x:row>
    <x:row r="47">
      <x:c r="A47" s="1"/>
      <x:c r="B47" s="1"/>
      <x:c r="C47" s="1"/>
    </x:row>
    <x:row r="48">
      <x:c r="A48" s="1"/>
      <x:c r="B48" s="1"/>
      <x:c r="C48" s="1"/>
    </x:row>
    <x:row r="49">
      <x:c r="A49" s="1"/>
      <x:c r="B49" s="1"/>
      <x:c r="C49" s="1"/>
    </x:row>
    <x:row r="50">
      <x:c r="A50" s="1"/>
      <x:c r="B50" s="1"/>
      <x:c r="C50" s="1"/>
    </x:row>
    <x:row r="51">
      <x:c r="A51" s="1"/>
      <x:c r="B51" s="1"/>
      <x:c r="C51" s="1"/>
    </x:row>
    <x:row r="52">
      <x:c r="A52" s="1"/>
      <x:c r="B52" s="1"/>
      <x:c r="C52" s="1"/>
    </x:row>
    <x:row r="53">
      <x:c r="A53" s="1"/>
      <x:c r="B53" s="1"/>
      <x:c r="C53" s="1"/>
    </x:row>
    <x:row r="54">
      <x:c r="A54" s="1"/>
      <x:c r="B54" s="1"/>
      <x:c r="C54" s="1"/>
    </x:row>
    <x:row r="55">
      <x:c r="A55" s="1"/>
      <x:c r="B55" s="1"/>
      <x:c r="C55" s="1"/>
    </x:row>
    <x:row r="56">
      <x:c r="A56" s="1"/>
      <x:c r="B56" s="1"/>
      <x:c r="C56" s="1"/>
    </x:row>
    <x:row r="57">
      <x:c r="A57" s="1"/>
      <x:c r="B57" s="1"/>
      <x:c r="C57" s="1"/>
    </x:row>
    <x:row r="58">
      <x:c r="A58" s="1"/>
      <x:c r="B58" s="1"/>
      <x:c r="C58" s="1"/>
    </x:row>
    <x:row r="59">
      <x:c r="A59" s="1"/>
      <x:c r="B59" s="1"/>
      <x:c r="C59" s="1"/>
    </x:row>
    <x:row r="60">
      <x:c r="A60" s="1"/>
      <x:c r="B60" s="1"/>
      <x:c r="C60" s="1"/>
    </x:row>
    <x:row r="61">
      <x:c r="A61" s="1"/>
      <x:c r="B61" s="1"/>
      <x:c r="C61" s="1"/>
    </x:row>
    <x:row r="62">
      <x:c r="A62" s="1"/>
      <x:c r="B62" s="1"/>
      <x:c r="C62" s="1"/>
    </x:row>
    <x:row r="63">
      <x:c r="A63" s="1"/>
      <x:c r="B63" s="1"/>
      <x:c r="C63" s="1"/>
    </x:row>
    <x:row r="64">
      <x:c r="A64" s="1"/>
      <x:c r="B64" s="1"/>
      <x:c r="C64" s="1"/>
    </x:row>
    <x:row r="65">
      <x:c r="A65" s="1"/>
      <x:c r="B65" s="1"/>
      <x:c r="C65" s="1"/>
    </x:row>
    <x:row r="66">
      <x:c r="A66" s="1"/>
      <x:c r="B66" s="1"/>
      <x:c r="C66" s="1"/>
    </x:row>
    <x:row r="67">
      <x:c r="A67" s="1"/>
      <x:c r="B67" s="1"/>
      <x:c r="C67" s="1"/>
    </x:row>
    <x:row r="68">
      <x:c r="A68" s="1"/>
      <x:c r="B68" s="1"/>
      <x:c r="C68" s="1"/>
    </x:row>
    <x:row r="69">
      <x:c r="A69" s="1"/>
      <x:c r="B69" s="1"/>
      <x:c r="C69" s="1"/>
    </x:row>
    <x:row r="70">
      <x:c r="A70" s="1"/>
      <x:c r="B70" s="1"/>
      <x:c r="C70" s="1"/>
    </x:row>
    <x:row r="71">
      <x:c r="A71" s="1"/>
      <x:c r="B71" s="1"/>
      <x:c r="C71" s="1"/>
    </x:row>
    <x:row r="72">
      <x:c r="A72" s="1"/>
      <x:c r="B72" s="1"/>
      <x:c r="C72" s="1"/>
    </x:row>
    <x:row r="73">
      <x:c r="A73" s="1"/>
      <x:c r="B73" s="1"/>
      <x:c r="C73" s="1"/>
    </x:row>
    <x:row r="74">
      <x:c r="A74" s="1"/>
      <x:c r="B74" s="1"/>
      <x:c r="C74" s="1"/>
    </x:row>
    <x:row r="75">
      <x:c r="A75" s="1"/>
      <x:c r="B75" s="1"/>
      <x:c r="C75" s="1"/>
    </x:row>
    <x:row r="76">
      <x:c r="A76" s="1"/>
      <x:c r="B76" s="1"/>
      <x:c r="C76" s="1"/>
    </x:row>
    <x:row r="77">
      <x:c r="A77" s="1"/>
      <x:c r="B77" s="1"/>
      <x:c r="C77" s="1"/>
    </x:row>
    <x:row r="78">
      <x:c r="A78" s="1"/>
      <x:c r="B78" s="1"/>
      <x:c r="C78" s="1"/>
    </x:row>
    <x:row r="79">
      <x:c r="A79" s="1"/>
      <x:c r="B79" s="1"/>
      <x:c r="C79" s="1"/>
    </x:row>
    <x:row r="80">
      <x:c r="A80" s="1"/>
      <x:c r="B80" s="1"/>
      <x:c r="C8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2738F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62" hidden="0" customWidth="1"/>
    <x:col min="3" max="3" width="27" hidden="0" customWidth="1"/>
    <x:col min="4" max="4" width="85" hidden="0" customWidth="1"/>
  </x:cols>
  <x:sheetData>
    <x:row r="1">
      <x:c r="A1" s="1"/>
      <x:c r="B1" s="1"/>
      <x:c r="C1" s="1"/>
      <x:c r="D1" s="1"/>
    </x:row>
    <x:row r="2">
      <x:c r="A2" s="2" t="str">
        <x:v>Comparable financial baseline</x:v>
      </x:c>
      <x:c r="B2" s="1"/>
      <x:c r="C2" s="1"/>
      <x:c r="D2" s="1"/>
    </x:row>
    <x:row r="3">
      <x:c r="A3" s="1"/>
      <x:c r="B3" s="1"/>
      <x:c r="C3" s="1"/>
      <x:c r="D3" s="1"/>
    </x:row>
    <x:row r="4">
      <x:c r="A4" s="1"/>
      <x:c r="B4" s="1"/>
      <x:c r="C4" s="1"/>
      <x:c r="D4" s="1"/>
    </x:row>
    <x:row r="5" ht="40" customHeight="1">
      <x:c r="A5" s="7" t="str">
        <x:v>Line</x:v>
      </x:c>
      <x:c r="B5" s="7" t="str">
        <x:v>Definition</x:v>
      </x:c>
      <x:c r="C5" s="7" t="str">
        <x:v>Value (USD unless labeled)</x:v>
      </x:c>
      <x:c r="D5" s="7" t="str">
        <x:v>Interpretation</x:v>
      </x:c>
    </x:row>
    <x:row r="6" ht="72" customHeight="1">
      <x:c r="A6" s="9"/>
      <x:c r="B6" s="9"/>
      <x:c r="C6" s="76"/>
      <x:c r="D6" s="9"/>
    </x:row>
    <x:row r="7" ht="28" customHeight="1">
      <x:c r="A7" s="18" t="str">
        <x:v>CMS FY2026: reconstruct the funding display</x:v>
      </x:c>
      <x:c r="B7" s="18"/>
      <x:c r="C7" s="77"/>
      <x:c r="D7" s="18"/>
    </x:row>
    <x:row r="8" ht="45" customHeight="1">
      <x:c r="A8" s="21" t="str">
        <x:v>B01</x:v>
      </x:c>
      <x:c r="B8" s="21" t="str">
        <x:v>Program Management lump sum</x:v>
      </x:c>
      <x:c r="C8" s="78" t="n">
        <x:f>INDEX('Observations'!$G$6:$G$90,MATCH("F01",'Observations'!$A$6:$A$90,0))</x:f>
        <x:v>3669744000</x:v>
      </x:c>
      <x:c r="D8" s="21" t="str">
        <x:v>Existing plan scope; no HLT availability inference</x:v>
      </x:c>
    </x:row>
    <x:row r="9" ht="45" customHeight="1">
      <x:c r="A9" s="21" t="str">
        <x:v>B02</x:v>
      </x:c>
      <x:c r="B9" s="21" t="str">
        <x:v>Four activities within lump sum</x:v>
      </x:c>
      <x:c r="C9" s="78" t="n">
        <x:f>SUM(INDEX('Observations'!$G$6:$G$90,MATCH("F02",'Observations'!$A$6:$A$90,0)),INDEX('Observations'!$G$6:$G$90,MATCH("F03",'Observations'!$A$6:$A$90,0)),INDEX('Observations'!$G$6:$G$90,MATCH("F04",'Observations'!$A$6:$A$90,0)),INDEX('Observations'!$G$6:$G$90,MATCH("F05",'Observations'!$A$6:$A$90,0)))</x:f>
        <x:v>3669744000</x:v>
      </x:c>
      <x:c r="D9" s="21" t="str">
        <x:v>Components, not extra resources</x:v>
      </x:c>
    </x:row>
    <x:row r="10" ht="45" customHeight="1">
      <x:c r="A10" s="21" t="str">
        <x:v>B03</x:v>
      </x:c>
      <x:c r="B10" s="21" t="str">
        <x:v>Additional Medicare operations GP</x:v>
      </x:c>
      <x:c r="C10" s="78" t="n">
        <x:f>INDEX('Observations'!$G$6:$G$90,MATCH("F06",'Observations'!$A$6:$A$90,0))</x:f>
        <x:v>455000000</x:v>
      </x:c>
      <x:c r="D10" s="21" t="str">
        <x:v>Add once outside lump sum</x:v>
      </x:c>
    </x:row>
    <x:row r="11" ht="45" customHeight="1">
      <x:c r="A11" s="21" t="str">
        <x:v>B04</x:v>
      </x:c>
      <x:c r="B11" s="21" t="str">
        <x:v>Reconstructed discretionary funding</x:v>
      </x:c>
      <x:c r="C11" s="78" t="n">
        <x:f>SUM(C8,C10)</x:f>
        <x:v>4124744000</x:v>
      </x:c>
      <x:c r="D11" s="21" t="str">
        <x:v>No children added a second time</x:v>
      </x:c>
    </x:row>
    <x:row r="12" ht="45" customHeight="1">
      <x:c r="A12" s="21" t="str">
        <x:v>B05</x:v>
      </x:c>
      <x:c r="B12" s="21" t="str">
        <x:v>Published discretionary control</x:v>
      </x:c>
      <x:c r="C12" s="78" t="n">
        <x:f>INDEX('Observations'!$G$6:$G$90,MATCH("F07",'Observations'!$A$6:$A$90,0))</x:f>
        <x:v>4124743999.9999995</x:v>
      </x:c>
      <x:c r="D12" s="21" t="str">
        <x:v>Compare B04 to B05</x:v>
      </x:c>
    </x:row>
    <x:row r="13" ht="45" customHeight="1">
      <x:c r="A13" s="21" t="str">
        <x:v>B06</x:v>
      </x:c>
      <x:c r="B13" s="21" t="str">
        <x:v>Collections from ten external-fee rows</x:v>
      </x:c>
      <x:c r="C13" s="78" t="n">
        <x:f>SUMIFS('Observations'!$G$6:$G$90,'Observations'!$M$6:$M$90,"CMS26-collections-leaf")</x:f>
        <x:v>3251326000</x:v>
      </x:c>
      <x:c r="D13" s="21" t="str">
        <x:v>Estimated collections, net conventions in E01</x:v>
      </x:c>
    </x:row>
    <x:row r="14" ht="45" customHeight="1">
      <x:c r="A14" s="21" t="str">
        <x:v>B07</x:v>
      </x:c>
      <x:c r="B14" s="21" t="str">
        <x:v>Published collections control</x:v>
      </x:c>
      <x:c r="C14" s="78" t="n">
        <x:f>INDEX('Observations'!$G$6:$G$90,MATCH("F08",'Observations'!$A$6:$A$90,0))</x:f>
        <x:v>3251326000</x:v>
      </x:c>
      <x:c r="D14" s="21" t="str">
        <x:v>Non-add RAC excluded</x:v>
      </x:c>
    </x:row>
    <x:row r="15" ht="45" customHeight="1">
      <x:c r="A15" s="21" t="str">
        <x:v>B08</x:v>
      </x:c>
      <x:c r="B15" s="21" t="str">
        <x:v>Reconstructed program level</x:v>
      </x:c>
      <x:c r="C15" s="78" t="n">
        <x:f>SUM(C11,C13)</x:f>
        <x:v>7376070000</x:v>
      </x:c>
      <x:c r="D15" s="21" t="str">
        <x:v>Funding presentation, not observed cash</x:v>
      </x:c>
    </x:row>
    <x:row r="16" ht="45" customHeight="1">
      <x:c r="A16" s="21" t="str">
        <x:v>B09</x:v>
      </x:c>
      <x:c r="B16" s="21" t="str">
        <x:v>Published program-level control</x:v>
      </x:c>
      <x:c r="C16" s="78" t="n">
        <x:f>INDEX('Observations'!$G$6:$G$90,MATCH("F09",'Observations'!$A$6:$A$90,0))</x:f>
        <x:v>7376070000</x:v>
      </x:c>
      <x:c r="D16" s="21" t="str">
        <x:v>Do not add IT portfolio or marketplace activities</x:v>
      </x:c>
    </x:row>
    <x:row r="17" ht="45" customHeight="1">
      <x:c r="A17" s="21" t="str">
        <x:v>B10</x:v>
      </x:c>
      <x:c r="B17" s="21" t="str">
        <x:v>RAC non-add amount kept outside total</x:v>
      </x:c>
      <x:c r="C17" s="78" t="n">
        <x:f>INDEX('Observations'!$G$6:$G$90,MATCH("F10",'Observations'!$A$6:$A$90,0))</x:f>
        <x:v>243900000</x:v>
      </x:c>
      <x:c r="D17" s="21" t="str">
        <x:v>Collections from Medicare trust funds; excluded from B08</x:v>
      </x:c>
    </x:row>
    <x:row r="18">
      <x:c r="A18" s="1"/>
      <x:c r="B18" s="1"/>
      <x:c r="C18" s="79"/>
      <x:c r="D18" s="1"/>
    </x:row>
    <x:row r="19" ht="28" customHeight="1">
      <x:c r="A19" s="18" t="str">
        <x:v>Oregon: retain budget stages and remove identified scope change</x:v>
      </x:c>
      <x:c r="B19" s="18"/>
      <x:c r="C19" s="80"/>
      <x:c r="D19" s="18"/>
    </x:row>
    <x:row r="20" ht="45" customHeight="1">
      <x:c r="A20" s="21" t="str">
        <x:v>B11</x:v>
      </x:c>
      <x:c r="B20" s="21" t="str">
        <x:v>2025–27 Governor OEP proposal</x:v>
      </x:c>
      <x:c r="C20" s="78" t="n">
        <x:f>INDEX('Observations'!$G$6:$G$90,MATCH("S01",'Observations'!$A$6:$A$90,0))</x:f>
        <x:v>952400000</x:v>
      </x:c>
      <x:c r="D20" s="21" t="str">
        <x:v>Earlier proposal; not the adopted control</x:v>
      </x:c>
    </x:row>
    <x:row r="21" ht="45" customHeight="1">
      <x:c r="A21" s="21" t="str">
        <x:v>B12</x:v>
      </x:c>
      <x:c r="B21" s="21" t="str">
        <x:v>2025–27 adopted OEP total</x:v>
      </x:c>
      <x:c r="C21" s="78" t="n">
        <x:f>INDEX('Observations'!$G$6:$G$90,MATCH("S12",'Observations'!$A$6:$A$90,0))</x:f>
        <x:v>975397783</x:v>
      </x:c>
      <x:c r="D21" s="21" t="str">
        <x:v>E04, BDV104 p.60; nominal biennial funding</x:v>
      </x:c>
    </x:row>
    <x:row r="22" ht="45" customHeight="1">
      <x:c r="A22" s="21" t="str">
        <x:v>B13</x:v>
      </x:c>
      <x:c r="B22" s="21" t="str">
        <x:v>Post-adoption adjustments</x:v>
      </x:c>
      <x:c r="C22" s="78" t="n">
        <x:f>INDEX('Observations'!$G$6:$G$90,MATCH("S19",'Observations'!$A$6:$A$90,0))</x:f>
        <x:v>88671526</x:v>
      </x:c>
      <x:c r="D22" s="21" t="str">
        <x:v>E05, opening bridge; already included in approved baseline</x:v>
      </x:c>
    </x:row>
    <x:row r="23" ht="45" customHeight="1">
      <x:c r="A23" s="21" t="str">
        <x:v>B14</x:v>
      </x:c>
      <x:c r="B23" s="21" t="str">
        <x:v>Reconstructed 2025–27 approved total</x:v>
      </x:c>
      <x:c r="C23" s="78" t="n">
        <x:f>SUM(C21:C22)</x:f>
        <x:v>1064069309</x:v>
      </x:c>
      <x:c r="D23" s="21" t="str">
        <x:v>Same OEP cross-reference, not actual execution</x:v>
      </x:c>
    </x:row>
    <x:row r="24" ht="45" customHeight="1">
      <x:c r="A24" s="21" t="str">
        <x:v>B15</x:v>
      </x:c>
      <x:c r="B24" s="21" t="str">
        <x:v>Published 2025–27 approved control</x:v>
      </x:c>
      <x:c r="C24" s="78" t="n">
        <x:f>INDEX('Observations'!$G$6:$G$90,MATCH("S18",'Observations'!$A$6:$A$90,0))</x:f>
        <x:v>1064069309</x:v>
      </x:c>
      <x:c r="D24" s="21" t="str">
        <x:v>Financial planning anchor; available balance UNKNOWN</x:v>
      </x:c>
    </x:row>
    <x:row r="25" ht="45" customHeight="1">
      <x:c r="A25" s="21" t="str">
        <x:v>B16</x:v>
      </x:c>
      <x:c r="B25" s="21" t="str">
        <x:v>2027–29 raw agency request</x:v>
      </x:c>
      <x:c r="C25" s="78" t="n">
        <x:f>INDEX('Observations'!$G$6:$G$90,MATCH("S25",'Observations'!$A$6:$A$90,0))</x:f>
        <x:v>4708816490</x:v>
      </x:c>
      <x:c r="D25" s="21" t="str">
        <x:v>Revenue narrative connects SNAP move to HR1; transfer changes scope, not spare capacity</x:v>
      </x:c>
    </x:row>
    <x:row r="26" ht="45" customHeight="1">
      <x:c r="A26" s="21" t="str">
        <x:v>B17</x:v>
      </x:c>
      <x:c r="B26" s="21" t="str">
        <x:v>SNAP nonlimited federal scope addition</x:v>
      </x:c>
      <x:c r="C26" s="78" t="n">
        <x:f>INDEX('Observations'!$G$6:$G$90,MATCH("S26",'Observations'!$A$6:$A$90,0))</x:f>
        <x:v>3381868127</x:v>
      </x:c>
      <x:c r="D26" s="21" t="str">
        <x:v>Remove identified benefit-flow scope addition only</x:v>
      </x:c>
    </x:row>
    <x:row r="27" ht="45" customHeight="1">
      <x:c r="A27" s="21" t="str">
        <x:v>B18</x:v>
      </x:c>
      <x:c r="B27" s="21" t="str">
        <x:v>Request excluding identified scope addition</x:v>
      </x:c>
      <x:c r="C27" s="78" t="n">
        <x:f>C25-C26</x:f>
        <x:v>1326948363</x:v>
      </x:c>
      <x:c r="D27" s="21" t="str">
        <x:v>Partially comparable $1.327bn; remaining administrative/mapping changes not all resolved</x:v>
      </x:c>
    </x:row>
    <x:row r="28" ht="45" customHeight="1">
      <x:c r="A28" s="21" t="str">
        <x:v>B19</x:v>
      </x:c>
      <x:c r="B28" s="21" t="str">
        <x:v>Remaining nominal change versus approved</x:v>
      </x:c>
      <x:c r="C28" s="78" t="n">
        <x:f>C27-C24</x:f>
        <x:v>262879054</x:v>
      </x:c>
      <x:c r="D28" s="21" t="str">
        <x:v>Not a spare-resource estimate or pure real workload/cost increase</x:v>
      </x:c>
    </x:row>
    <x:row r="29" ht="45" customHeight="1">
      <x:c r="A29" s="21" t="str">
        <x:v>B20</x:v>
      </x:c>
      <x:c r="B29" s="21" t="str">
        <x:v>Position actions</x:v>
      </x:c>
      <x:c r="C29" s="78" t="n">
        <x:f>INDEX('Observations'!$G$6:$G$90,MATCH("S32",'Observations'!$A$6:$A$90,0))</x:f>
        <x:v>101040306</x:v>
      </x:c>
      <x:c r="D29" s="21" t="str">
        <x:v>Published adjustment, not hires or headcount</x:v>
      </x:c>
    </x:row>
    <x:row r="30" ht="45" customHeight="1">
      <x:c r="A30" s="21" t="str">
        <x:v>B21</x:v>
      </x:c>
      <x:c r="B30" s="21" t="str">
        <x:v>Vacancy and non-PICS subtotal</x:v>
      </x:c>
      <x:c r="C30" s="78" t="n">
        <x:f>INDEX('Observations'!$G$6:$G$90,MATCH("S33",'Observations'!$A$6:$A$90,0))</x:f>
        <x:v>-5593005</x:v>
      </x:c>
      <x:c r="D30" s="21" t="str">
        <x:v>Published request bridge</x:v>
      </x:c>
    </x:row>
    <x:row r="31" ht="45" customHeight="1">
      <x:c r="A31" s="21" t="str">
        <x:v>B22</x:v>
      </x:c>
      <x:c r="B31" s="21" t="str">
        <x:v>Phase-in/out subtotal</x:v>
      </x:c>
      <x:c r="C31" s="78" t="n">
        <x:f>INDEX('Observations'!$G$6:$G$90,MATCH("S34",'Observations'!$A$6:$A$90,0))</x:f>
        <x:v>-55143023</x:v>
      </x:c>
      <x:c r="D31" s="21" t="str">
        <x:v>Published request bridge</x:v>
      </x:c>
    </x:row>
    <x:row r="32" ht="45" customHeight="1">
      <x:c r="A32" s="21" t="str">
        <x:v>B23</x:v>
      </x:c>
      <x:c r="B32" s="21" t="str">
        <x:v>Inflation/price subtotal</x:v>
      </x:c>
      <x:c r="C32" s="78" t="n">
        <x:f>INDEX('Observations'!$G$6:$G$90,MATCH("S35",'Observations'!$A$6:$A$90,0))</x:f>
        <x:v>26809452</x:v>
      </x:c>
      <x:c r="D32" s="21" t="str">
        <x:v>Request assumption; no separate blanket inflation applied</x:v>
      </x:c>
    </x:row>
    <x:row r="33" ht="45" customHeight="1">
      <x:c r="A33" s="21" t="str">
        <x:v>B24</x:v>
      </x:c>
      <x:c r="B33" s="21" t="str">
        <x:v>Technical adjustments</x:v>
      </x:c>
      <x:c r="C33" s="78" t="n">
        <x:f>INDEX('Observations'!$G$6:$G$90,MATCH("S36",'Observations'!$A$6:$A$90,0))</x:f>
        <x:v>195765324</x:v>
      </x:c>
      <x:c r="D33" s="21" t="str">
        <x:v>Includes further program mapping changes</x:v>
      </x:c>
    </x:row>
    <x:row r="34" ht="45" customHeight="1">
      <x:c r="A34" s="21" t="str">
        <x:v>B25</x:v>
      </x:c>
      <x:c r="B34" s="21" t="str">
        <x:v>Reconstructed raw request</x:v>
      </x:c>
      <x:c r="C34" s="78" t="n">
        <x:f>SUM(C24,C26,C29:C33)</x:f>
        <x:v>4708816490</x:v>
      </x:c>
      <x:c r="D34" s="21" t="str">
        <x:v>Published bridge reproduced; compare B16</x:v>
      </x:c>
    </x:row>
    <x:row r="35">
      <x:c r="A35" s="1"/>
      <x:c r="B35" s="1"/>
      <x:c r="C35" s="79"/>
      <x:c r="D35" s="1"/>
    </x:row>
    <x:row r="36" ht="28" customHeight="1">
      <x:c r="A36" s="18" t="str">
        <x:v>Comparability and funding-share checks</x:v>
      </x:c>
      <x:c r="B36" s="18"/>
      <x:c r="C36" s="80"/>
      <x:c r="D36" s="18"/>
    </x:row>
    <x:row r="37" ht="45" customHeight="1">
      <x:c r="A37" s="21" t="str">
        <x:v>B26</x:v>
      </x:c>
      <x:c r="B37" s="21" t="str">
        <x:v>2025–27 approved General Fund</x:v>
      </x:c>
      <x:c r="C37" s="78" t="n">
        <x:f>INDEX('Observations'!$G$6:$G$90,MATCH("S20",'Observations'!$A$6:$A$90,0))</x:f>
        <x:v>519343415</x:v>
      </x:c>
      <x:c r="D37" s="21" t="str">
        <x:v>Part of gross state budget, not an additional layer</x:v>
      </x:c>
    </x:row>
    <x:row r="38" ht="45" customHeight="1">
      <x:c r="A38" s="21" t="str">
        <x:v>B27</x:v>
      </x:c>
      <x:c r="B38" s="21" t="str">
        <x:v>2025–27 approved Other Funds</x:v>
      </x:c>
      <x:c r="C38" s="78" t="n">
        <x:f>INDEX('Observations'!$G$6:$G$90,MATCH("S21",'Observations'!$A$6:$A$90,0))</x:f>
        <x:v>16854087</x:v>
      </x:c>
      <x:c r="D38" s="21" t="str">
        <x:v>Part of gross state budget</x:v>
      </x:c>
    </x:row>
    <x:row r="39" ht="45" customHeight="1">
      <x:c r="A39" s="21" t="str">
        <x:v>B28</x:v>
      </x:c>
      <x:c r="B39" s="21" t="str">
        <x:v>2025–27 approved Federal Funds</x:v>
      </x:c>
      <x:c r="C39" s="78" t="n">
        <x:f>INDEX('Observations'!$G$6:$G$90,MATCH("S22",'Observations'!$A$6:$A$90,0))</x:f>
        <x:v>527871807</x:v>
      </x:c>
      <x:c r="D39" s="21" t="str">
        <x:v>Federal contributions embedded in gross state total</x:v>
      </x:c>
    </x:row>
    <x:row r="40" ht="45" customHeight="1">
      <x:c r="A40" s="21" t="str">
        <x:v>B29</x:v>
      </x:c>
      <x:c r="B40" s="21" t="str">
        <x:v>Sum of approved fund sources</x:v>
      </x:c>
      <x:c r="C40" s="78" t="n">
        <x:f>SUM(C37:C39)</x:f>
        <x:v>1064069309</x:v>
      </x:c>
      <x:c r="D40" s="21" t="str">
        <x:v>Do not add B28 again to B14</x:v>
      </x:c>
    </x:row>
    <x:row r="41" ht="45" customHeight="1">
      <x:c r="A41" s="21" t="str">
        <x:v>B30</x:v>
      </x:c>
      <x:c r="B41" s="21" t="str">
        <x:v>Major ONE category: exact fund-source sum</x:v>
      </x:c>
      <x:c r="C41" s="78" t="n">
        <x:f>SUM(INDEX('Observations'!$G$6:$G$90,MATCH("S03",'Observations'!$A$6:$A$90,0)),INDEX('Observations'!$G$6:$G$90,MATCH("S04",'Observations'!$A$6:$A$90,0)),INDEX('Observations'!$G$6:$G$90,MATCH("S05",'Observations'!$A$6:$A$90,0)))</x:f>
        <x:v>198238694</x:v>
      </x:c>
      <x:c r="D41" s="21" t="str">
        <x:v>Governor proposal broad category includes CAM/BIS</x:v>
      </x:c>
    </x:row>
    <x:row r="42" ht="45" customHeight="1">
      <x:c r="A42" s="21" t="str">
        <x:v>B31</x:v>
      </x:c>
      <x:c r="B42" s="21" t="str">
        <x:v>Major-cost chart components</x:v>
      </x:c>
      <x:c r="C42" s="78" t="n">
        <x:f>SUM(INDEX('Observations'!$G$6:$G$90,MATCH("S06",'Observations'!$A$6:$A$90,0)),INDEX('Observations'!$G$6:$G$90,MATCH("S07",'Observations'!$A$6:$A$90,0)),INDEX('Observations'!$G$6:$G$90,MATCH("S08",'Observations'!$A$6:$A$90,0)),INDEX('Observations'!$G$6:$G$90,MATCH("S09",'Observations'!$A$6:$A$90,0)),INDEX('Observations'!$G$6:$G$90,MATCH("S10",'Observations'!$A$6:$A$90,0)),INDEX('Observations'!$G$6:$G$90,MATCH("S11",'Observations'!$A$6:$A$90,0)))</x:f>
        <x:v>198700000</x:v>
      </x:c>
      <x:c r="D42" s="21" t="str">
        <x:v>Preserved as separate chart view, not added to B30</x:v>
      </x:c>
    </x:row>
    <x:row r="43" ht="45" customHeight="1">
      <x:c r="A43" s="21" t="str">
        <x:v>B32</x:v>
      </x:c>
      <x:c r="B43" s="21" t="str">
        <x:v>Unreconciled chart minus fund-source sum</x:v>
      </x:c>
      <x:c r="C43" s="78" t="n">
        <x:f>C42-C41</x:f>
        <x:v>461306</x:v>
      </x:c>
      <x:c r="D43" s="21" t="str">
        <x:v>Source difference retained; no fabricated balancing entry</x:v>
      </x:c>
    </x:row>
    <x:row r="44" ht="45" customHeight="1">
      <x:c r="A44" s="21" t="str">
        <x:v>B33</x:v>
      </x:c>
      <x:c r="B44" s="21" t="str">
        <x:v>Medicaid work-rule hours: component sum</x:v>
      </x:c>
      <x:c r="C44" s="81" t="n">
        <x:f>SUM(INDEX('Observations'!$D$6:$D$90,MATCH("S44",'Observations'!$A$6:$A$90,0)),INDEX('Observations'!$D$6:$D$90,MATCH("S45",'Observations'!$A$6:$A$90,0)))</x:f>
        <x:v>261213</x:v>
      </x:c>
      <x:c r="D44" s="21" t="str">
        <x:v>Agency forecast; possible activity removed, not net staff released</x:v>
      </x:c>
    </x:row>
    <x:row r="45" ht="45" customHeight="1">
      <x:c r="A45" s="21" t="str">
        <x:v>B34</x:v>
      </x:c>
      <x:c r="B45" s="21" t="str">
        <x:v>2025–27 approved positions</x:v>
      </x:c>
      <x:c r="C45" s="81" t="n">
        <x:f>INDEX('Observations'!$D$6:$D$90,MATCH("S23",'Observations'!$A$6:$A$90,0))</x:f>
        <x:v>2969</x:v>
      </x:c>
      <x:c r="D45" s="21" t="str">
        <x:v>Authorized positions, not filled employees</x:v>
      </x:c>
    </x:row>
    <x:row r="46" ht="45" customHeight="1">
      <x:c r="A46" s="21" t="str">
        <x:v>B35</x:v>
      </x:c>
      <x:c r="B46" s="21" t="str">
        <x:v>2025–27 approved FTE</x:v>
      </x:c>
      <x:c r="C46" s="82" t="n">
        <x:f>INDEX('Observations'!$D$6:$D$90,MATCH("S24",'Observations'!$A$6:$A$90,0))</x:f>
        <x:v>2773.81</x:v>
      </x:c>
      <x:c r="D46" s="21" t="str">
        <x:v>Fractional FTE is distinct from positions</x:v>
      </x:c>
    </x:row>
    <x:row r="47" ht="45" customHeight="1">
      <x:c r="A47" s="21" t="str">
        <x:v>B36</x:v>
      </x:c>
      <x:c r="B47" s="21" t="str">
        <x:v>2027–29 requested positions</x:v>
      </x:c>
      <x:c r="C47" s="81" t="n">
        <x:f>INDEX('Observations'!$D$6:$D$90,MATCH("S30",'Observations'!$A$6:$A$90,0))</x:f>
        <x:v>3030</x:v>
      </x:c>
      <x:c r="D47" s="21" t="str">
        <x:v>Request not workforce actually available in FY2029</x:v>
      </x:c>
    </x:row>
    <x:row r="48" ht="45" customHeight="1">
      <x:c r="A48" s="21" t="str">
        <x:v>B37</x:v>
      </x:c>
      <x:c r="B48" s="21" t="str">
        <x:v>2027–29 requested FTE</x:v>
      </x:c>
      <x:c r="C48" s="82" t="n">
        <x:f>INDEX('Observations'!$D$6:$D$90,MATCH("S31",'Observations'!$A$6:$A$90,0))</x:f>
        <x:v>3028.1</x:v>
      </x:c>
      <x:c r="D48" s="21" t="str">
        <x:v>No headcount or spare-capacity conversion</x:v>
      </x:c>
    </x:row>
    <x:row r="49">
      <x:c r="A49" s="1"/>
      <x:c r="B49" s="1"/>
      <x:c r="C49" s="83"/>
      <x:c r="D49" s="1"/>
    </x:row>
    <x:row r="50" ht="28" customHeight="1">
      <x:c r="A50" s="18" t="str">
        <x:v>Independent reconciliation checks</x:v>
      </x:c>
      <x:c r="B50" s="18"/>
      <x:c r="C50" s="77"/>
      <x:c r="D50" s="18"/>
    </x:row>
    <x:row r="51" ht="45" customHeight="1">
      <x:c r="A51" s="21" t="str">
        <x:v>CK01</x:v>
      </x:c>
      <x:c r="B51" s="21" t="str">
        <x:v>Lump sum minus activity detail</x:v>
      </x:c>
      <x:c r="C51" s="84" t="n">
        <x:f>C8-C9</x:f>
        <x:v>0</x:v>
      </x:c>
      <x:c r="D51" s="21" t="str">
        <x:v>Expected 0.00</x:v>
      </x:c>
    </x:row>
    <x:row r="52" ht="45" customHeight="1">
      <x:c r="A52" s="21" t="str">
        <x:v>CK02</x:v>
      </x:c>
      <x:c r="B52" s="21" t="str">
        <x:v>Discretionary reconstructed minus control</x:v>
      </x:c>
      <x:c r="C52" s="84" t="n">
        <x:f>C11-C12</x:f>
        <x:v>4.76837158203125e-7</x:v>
      </x:c>
      <x:c r="D52" s="21" t="str">
        <x:v>Expected 0.00</x:v>
      </x:c>
    </x:row>
    <x:row r="53" ht="45" customHeight="1">
      <x:c r="A53" s="21" t="str">
        <x:v>CK03</x:v>
      </x:c>
      <x:c r="B53" s="21" t="str">
        <x:v>Collections reconstructed minus control</x:v>
      </x:c>
      <x:c r="C53" s="84" t="n">
        <x:f>C13-C14</x:f>
        <x:v>0</x:v>
      </x:c>
      <x:c r="D53" s="21" t="str">
        <x:v>Expected 0.00</x:v>
      </x:c>
    </x:row>
    <x:row r="54" ht="45" customHeight="1">
      <x:c r="A54" s="21" t="str">
        <x:v>CK04</x:v>
      </x:c>
      <x:c r="B54" s="21" t="str">
        <x:v>Program level reconstructed minus control</x:v>
      </x:c>
      <x:c r="C54" s="84" t="n">
        <x:f>C15-C16</x:f>
        <x:v>0</x:v>
      </x:c>
      <x:c r="D54" s="21" t="str">
        <x:v>Expected 0.00</x:v>
      </x:c>
    </x:row>
    <x:row r="55" ht="45" customHeight="1">
      <x:c r="A55" s="21" t="str">
        <x:v>CK05</x:v>
      </x:c>
      <x:c r="B55" s="21" t="str">
        <x:v>OEP approved reconstructed minus control</x:v>
      </x:c>
      <x:c r="C55" s="84" t="n">
        <x:f>C23-C24</x:f>
        <x:v>0</x:v>
      </x:c>
      <x:c r="D55" s="21" t="str">
        <x:v>Expected 0.00</x:v>
      </x:c>
    </x:row>
    <x:row r="56" ht="45" customHeight="1">
      <x:c r="A56" s="21" t="str">
        <x:v>CK06</x:v>
      </x:c>
      <x:c r="B56" s="21" t="str">
        <x:v>OEP request reconstructed minus control</x:v>
      </x:c>
      <x:c r="C56" s="84" t="n">
        <x:f>C34-C25</x:f>
        <x:v>0</x:v>
      </x:c>
      <x:c r="D56" s="21" t="str">
        <x:v>Expected 0.00</x:v>
      </x:c>
    </x:row>
    <x:row r="57" ht="45" customHeight="1">
      <x:c r="A57" s="21" t="str">
        <x:v>CK07</x:v>
      </x:c>
      <x:c r="B57" s="21" t="str">
        <x:v>OEP approved fund sources minus control</x:v>
      </x:c>
      <x:c r="C57" s="84" t="n">
        <x:f>C40-C24</x:f>
        <x:v>0</x:v>
      </x:c>
      <x:c r="D57" s="21" t="str">
        <x:v>Expected 0.00</x:v>
      </x:c>
    </x:row>
    <x:row r="58">
      <x:c r="A58" s="1"/>
      <x:c r="B58" s="1"/>
      <x:c r="C58" s="83"/>
      <x:c r="D58" s="1"/>
    </x:row>
    <x:row r="59">
      <x:c r="A59" s="1"/>
      <x:c r="B59" s="1"/>
      <x:c r="C59" s="83"/>
      <x:c r="D59" s="1"/>
    </x:row>
    <x:row r="60">
      <x:c r="A60" s="1"/>
      <x:c r="B60" s="1"/>
      <x:c r="C60" s="83"/>
      <x:c r="D60" s="1"/>
    </x:row>
    <x:row r="61">
      <x:c r="A61" s="1"/>
      <x:c r="B61" s="1"/>
      <x:c r="C61" s="83"/>
      <x:c r="D61" s="1"/>
    </x:row>
    <x:row r="62">
      <x:c r="A62" s="1"/>
      <x:c r="B62" s="1"/>
      <x:c r="C62" s="83"/>
      <x:c r="D62" s="1"/>
    </x:row>
    <x:row r="63">
      <x:c r="A63" s="1"/>
      <x:c r="B63" s="1"/>
      <x:c r="C63" s="83"/>
      <x:c r="D63" s="1"/>
    </x:row>
    <x:row r="64">
      <x:c r="A64" s="1"/>
      <x:c r="B64" s="1"/>
      <x:c r="C64" s="83"/>
      <x:c r="D64" s="1"/>
    </x:row>
    <x:row r="65">
      <x:c r="A65" s="1"/>
      <x:c r="B65" s="1"/>
      <x:c r="C65" s="83"/>
      <x:c r="D65" s="1"/>
    </x:row>
    <x:row r="66">
      <x:c r="A66" s="1"/>
      <x:c r="B66" s="1"/>
      <x:c r="C66" s="83"/>
      <x:c r="D66" s="1"/>
    </x:row>
    <x:row r="67">
      <x:c r="A67" s="1"/>
      <x:c r="B67" s="1"/>
      <x:c r="C67" s="83"/>
      <x:c r="D67" s="1"/>
    </x:row>
    <x:row r="68">
      <x:c r="A68" s="1"/>
      <x:c r="B68" s="1"/>
      <x:c r="C68" s="83"/>
      <x:c r="D68" s="1"/>
    </x:row>
    <x:row r="69">
      <x:c r="A69" s="1"/>
      <x:c r="B69" s="1"/>
      <x:c r="C69" s="83"/>
      <x:c r="D69" s="1"/>
    </x:row>
    <x:row r="70">
      <x:c r="A70" s="1"/>
      <x:c r="B70" s="1"/>
      <x:c r="C70" s="83"/>
      <x:c r="D70" s="1"/>
    </x:row>
    <x:row r="71">
      <x:c r="A71" s="1"/>
      <x:c r="B71" s="1"/>
      <x:c r="C71" s="1"/>
      <x:c r="D71" s="1"/>
    </x:row>
    <x:row r="72">
      <x:c r="A72" s="1"/>
      <x:c r="B72" s="1"/>
      <x:c r="C72" s="1"/>
      <x:c r="D72" s="1"/>
    </x:row>
    <x:row r="73">
      <x:c r="A73" s="1"/>
      <x:c r="B73" s="1"/>
      <x:c r="C73" s="1"/>
      <x:c r="D73" s="1"/>
    </x:row>
    <x:row r="74">
      <x:c r="A74" s="1"/>
      <x:c r="B74" s="1"/>
      <x:c r="C74" s="1"/>
      <x:c r="D74" s="1"/>
    </x:row>
    <x:row r="75">
      <x:c r="A75" s="1"/>
      <x:c r="B75" s="1"/>
      <x:c r="C75" s="1"/>
      <x:c r="D75" s="1"/>
    </x:row>
    <x:row r="76">
      <x:c r="A76" s="1"/>
      <x:c r="B76" s="1"/>
      <x:c r="C76" s="1"/>
      <x:c r="D76" s="1"/>
    </x:row>
    <x:row r="77">
      <x:c r="A77" s="1"/>
      <x:c r="B77" s="1"/>
      <x:c r="C77" s="1"/>
      <x:c r="D77" s="1"/>
    </x:row>
    <x:row r="78">
      <x:c r="A78" s="1"/>
      <x:c r="B78" s="1"/>
      <x:c r="C78" s="1"/>
      <x:c r="D78" s="1"/>
    </x:row>
    <x:row r="79">
      <x:c r="A79" s="1"/>
      <x:c r="B79" s="1"/>
      <x:c r="C79" s="1"/>
      <x:c r="D79" s="1"/>
    </x:row>
    <x:row r="80">
      <x:c r="A80" s="1"/>
      <x:c r="B80" s="1"/>
      <x:c r="C80" s="1"/>
      <x:c r="D80" s="1"/>
    </x:row>
  </x:sheetData>
  <x:conditionalFormatting sqref="C51:C57">
    <x:cfRule type="cellIs" dxfId="0" priority="1" operator="notEqual">
      <x:formula>0</x:formula>
    </x:cfRule>
  </x:conditionalFormatting>
  <x:conditionalFormatting sqref="C43:C43">
    <x:cfRule type="cellIs" dxfId="1" priority="2" operator="notEqual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2738F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66" hidden="0" customWidth="1"/>
    <x:col min="3" max="3" width="26" hidden="0" customWidth="1"/>
    <x:col min="4" max="4" width="90" hidden="0" customWidth="1"/>
    <x:col min="5" max="5" width="25" hidden="0" customWidth="1"/>
    <x:col min="6" max="6" width="25" hidden="0" customWidth="1"/>
    <x:col min="7" max="7" width="45" hidden="0" customWidth="1"/>
    <x:col min="8" max="8" width="62" hidden="0" customWidth="1"/>
  </x:cols>
  <x:sheetData>
    <x:row r="1">
      <x:c r="A1" s="1"/>
      <x:c r="B1" s="1"/>
      <x:c r="C1" s="1"/>
      <x:c r="D1" s="1"/>
    </x:row>
    <x:row r="2">
      <x:c r="A2" s="2" t="str">
        <x:v>Cost and funding bridge</x:v>
      </x:c>
      <x:c r="B2" s="1"/>
      <x:c r="C2" s="1"/>
      <x:c r="D2" s="1"/>
    </x:row>
    <x:row r="3">
      <x:c r="A3" s="1"/>
      <x:c r="B3" s="1"/>
      <x:c r="C3" s="1"/>
      <x:c r="D3" s="1"/>
    </x:row>
    <x:row r="4">
      <x:c r="A4" s="1"/>
      <x:c r="B4" s="1"/>
      <x:c r="C4" s="1"/>
      <x:c r="D4" s="1"/>
    </x:row>
    <x:row r="5" ht="40" customHeight="1">
      <x:c r="A5" s="7" t="str">
        <x:v>Line</x:v>
      </x:c>
      <x:c r="B5" s="7" t="str">
        <x:v>Input / result</x:v>
      </x:c>
      <x:c r="C5" s="7" t="str">
        <x:v>Value</x:v>
      </x:c>
      <x:c r="D5" s="7" t="str">
        <x:v>Basis / restriction</x:v>
      </x:c>
    </x:row>
    <x:row r="6" ht="72" customHeight="1">
      <x:c r="A6" s="9"/>
      <x:c r="B6" s="9"/>
      <x:c r="C6" s="76"/>
      <x:c r="D6" s="9"/>
    </x:row>
    <x:row r="7" ht="28" customHeight="1">
      <x:c r="A7" s="18" t="str">
        <x:v>Illustrative state shared build: USD2029, not an estimate or adopted input</x:v>
      </x:c>
      <x:c r="B7" s="18"/>
      <x:c r="C7" s="77"/>
      <x:c r="D7" s="18"/>
    </x:row>
    <x:row r="8" ht="45" customHeight="1">
      <x:c r="A8" s="21" t="str">
        <x:v>I01</x:v>
      </x:c>
      <x:c r="B8" s="21" t="str">
        <x:v>Without-proposal planned refresh</x:v>
      </x:c>
      <x:c r="C8" s="85" t="n">
        <x:v>4000000</x:v>
      </x:c>
      <x:c r="D8" s="21" t="str">
        <x:v>Illustrative without-HLT case; includes only this selected component</x:v>
      </x:c>
    </x:row>
    <x:row r="9" ht="45" customHeight="1">
      <x:c r="A9" s="21" t="str">
        <x:v>I02</x:v>
      </x:c>
      <x:c r="B9" s="21" t="str">
        <x:v>With-proposal baseline refresh</x:v>
      </x:c>
      <x:c r="C9" s="85" t="n">
        <x:v>4000000</x:v>
      </x:c>
      <x:c r="D9" s="21" t="str">
        <x:v>Illustrative unchanged comparable baseline</x:v>
      </x:c>
    </x:row>
    <x:row r="10" ht="45" customHeight="1">
      <x:c r="A10" s="21" t="str">
        <x:v>I03</x:v>
      </x:c>
      <x:c r="B10" s="21" t="str">
        <x:v>Additional restoration configuration</x:v>
      </x:c>
      <x:c r="C10" s="85" t="n">
        <x:v>6000000</x:v>
      </x:c>
      <x:c r="D10" s="21" t="str">
        <x:v>Illustrative incremental requirement, not a vendor quote</x:v>
      </x:c>
    </x:row>
    <x:row r="11" ht="45" customHeight="1">
      <x:c r="A11" s="21" t="str">
        <x:v>I04</x:v>
      </x:c>
      <x:c r="B11" s="21" t="str">
        <x:v>Transition, parallel run and retirement</x:v>
      </x:c>
      <x:c r="C11" s="85" t="n">
        <x:v>2000000</x:v>
      </x:c>
      <x:c r="D11" s="21" t="str">
        <x:v>Illustrative one-time transition; distinct from continuing hosting</x:v>
      </x:c>
    </x:row>
    <x:row r="12" ht="45" customHeight="1">
      <x:c r="A12" s="21" t="str">
        <x:v>I05</x:v>
      </x:c>
      <x:c r="B12" s="21" t="str">
        <x:v>Gross with-proposal component</x:v>
      </x:c>
      <x:c r="C12" s="86" t="n">
        <x:f>SUM(C9:C11)</x:f>
        <x:v>12000000</x:v>
      </x:c>
      <x:c r="D12" s="21" t="str">
        <x:v>Same scope, price year and period as without case</x:v>
      </x:c>
    </x:row>
    <x:row r="13" ht="45" customHeight="1">
      <x:c r="A13" s="21" t="str">
        <x:v>I06</x:v>
      </x:c>
      <x:c r="B13" s="21" t="str">
        <x:v>Incremental resource cost</x:v>
      </x:c>
      <x:c r="C13" s="86" t="n">
        <x:f>C12-C8</x:f>
        <x:v>8000000</x:v>
      </x:c>
      <x:c r="D13" s="21" t="str">
        <x:v>Do not subtract baseline funding again after this resource comparison</x:v>
      </x:c>
    </x:row>
    <x:row r="14">
      <x:c r="A14" s="1"/>
      <x:c r="B14" s="1"/>
      <x:c r="C14" s="83"/>
      <x:c r="D14" s="1"/>
    </x:row>
    <x:row r="15" ht="45" customHeight="1">
      <x:c r="A15" s="21" t="str">
        <x:v>I07</x:v>
      </x:c>
      <x:c r="B15" s="21" t="str">
        <x:v>Medicaid benefiting-work units</x:v>
      </x:c>
      <x:c r="C15" s="87" t="n">
        <x:v>600</x:v>
      </x:c>
      <x:c r="D15" s="21" t="str">
        <x:v>Illustrative weighted approved test/verification work; replace with causal allocation evidence</x:v>
      </x:c>
    </x:row>
    <x:row r="16" ht="45" customHeight="1">
      <x:c r="A16" s="21" t="str">
        <x:v>I08</x:v>
      </x:c>
      <x:c r="B16" s="21" t="str">
        <x:v>Other-program benefiting-work units</x:v>
      </x:c>
      <x:c r="C16" s="87" t="n">
        <x:v>400</x:v>
      </x:c>
      <x:c r="D16" s="21" t="str">
        <x:v>Illustrative co-beneficiaries; not individuals receiving coverage</x:v>
      </x:c>
    </x:row>
    <x:row r="17" ht="45" customHeight="1">
      <x:c r="A17" s="21" t="str">
        <x:v>I09</x:v>
      </x:c>
      <x:c r="B17" s="21" t="str">
        <x:v>Medicaid allocation share</x:v>
      </x:c>
      <x:c r="C17" s="88" t="n">
        <x:f>C15/SUM(C15:C16)</x:f>
        <x:v>0.6</x:v>
      </x:c>
      <x:c r="D17" s="21" t="str">
        <x:v>Proposed driver; direct tracing should replace shared assignment where possible</x:v>
      </x:c>
    </x:row>
    <x:row r="18" ht="45" customHeight="1">
      <x:c r="A18" s="21" t="str">
        <x:v>I10</x:v>
      </x:c>
      <x:c r="B18" s="21" t="str">
        <x:v>Medicaid-assigned incremental cost</x:v>
      </x:c>
      <x:c r="C18" s="86" t="n">
        <x:f>C13*C17</x:f>
        <x:v>4800000</x:v>
      </x:c>
      <x:c r="D18" s="21" t="str">
        <x:v>Attribution does not establish lawful federal reimbursement</x:v>
      </x:c>
    </x:row>
    <x:row r="19" ht="45" customHeight="1">
      <x:c r="A19" s="21" t="str">
        <x:v>I11</x:v>
      </x:c>
      <x:c r="B19" s="21" t="str">
        <x:v>Other-program incremental cost</x:v>
      </x:c>
      <x:c r="C19" s="86" t="n">
        <x:f>C13-C18</x:f>
        <x:v>3200000</x:v>
      </x:c>
      <x:c r="D19" s="21" t="str">
        <x:v>Other funding sources/shares UNKNOWN; not all charged to state GF</x:v>
      </x:c>
    </x:row>
    <x:row r="20" ht="45" customHeight="1">
      <x:c r="A20" s="21" t="str">
        <x:v>I12</x:v>
      </x:c>
      <x:c r="B20" s="21" t="str">
        <x:v>Conditional Medicaid development FFP</x:v>
      </x:c>
      <x:c r="C20" s="89" t="n">
        <x:v>0.9</x:v>
      </x:c>
      <x:c r="D20" s="21" t="str">
        <x:v>E11 conditional legal rate; assumption that allocated increment qualifies is illustrative</x:v>
      </x:c>
    </x:row>
    <x:row r="21" ht="45" customHeight="1">
      <x:c r="A21" s="21" t="str">
        <x:v>I13</x:v>
      </x:c>
      <x:c r="B21" s="21" t="str">
        <x:v>Illustrative federal Medicaid share</x:v>
      </x:c>
      <x:c r="C21" s="86" t="n">
        <x:f>C18*C20</x:f>
        <x:v>4320000</x:v>
      </x:c>
      <x:c r="D21" s="21" t="str">
        <x:v>Federal contribution to state spending, not federal CMS payroll</x:v>
      </x:c>
    </x:row>
    <x:row r="22" ht="45" customHeight="1">
      <x:c r="A22" s="21" t="str">
        <x:v>I14</x:v>
      </x:c>
      <x:c r="B22" s="21" t="str">
        <x:v>Illustrative state Medicaid share</x:v>
      </x:c>
      <x:c r="C22" s="86" t="n">
        <x:f>C18-C21</x:f>
        <x:v>480000</x:v>
      </x:c>
      <x:c r="D22" s="21" t="str">
        <x:v>State appropriation and near-term cash/draw rules still need review</x:v>
      </x:c>
    </x:row>
    <x:row r="23" ht="45" customHeight="1">
      <x:c r="A23" s="21" t="str">
        <x:v>I15</x:v>
      </x:c>
      <x:c r="B23" s="21" t="str">
        <x:v>Resource reconciliation</x:v>
      </x:c>
      <x:c r="C23" s="84" t="n">
        <x:f>SUM(C21:C22,C19)-C13</x:f>
        <x:v>0</x:v>
      </x:c>
      <x:c r="D23" s="21" t="str">
        <x:v>Expected 0.00; federal share must not be added to gross state resource cost</x:v>
      </x:c>
    </x:row>
    <x:row r="24">
      <x:c r="A24" s="1"/>
      <x:c r="B24" s="1"/>
      <x:c r="C24" s="83"/>
      <x:c r="D24" s="1"/>
    </x:row>
    <x:row r="25" ht="45" customHeight="1">
      <x:c r="A25" s="21" t="str">
        <x:v>I16</x:v>
      </x:c>
      <x:c r="B25" s="21" t="str">
        <x:v>Already included in HLT-1/4 federal score</x:v>
      </x:c>
      <x:c r="C25" s="85"/>
      <x:c r="D25" s="21" t="str">
        <x:v>UNKNOWN. Enter a verified incremental federal allowance for this same cost only</x:v>
      </x:c>
    </x:row>
    <x:row r="26" ht="45" customHeight="1">
      <x:c r="A26" s="21" t="str">
        <x:v>I17</x:v>
      </x:c>
      <x:c r="B26" s="21" t="str">
        <x:v>Existing legally usable funding for this increment</x:v>
      </x:c>
      <x:c r="C26" s="85"/>
      <x:c r="D26" s="21" t="str">
        <x:v>UNKNOWN. Exclude commitments and no-proposal baseline; do not reuse the same funding as I16</x:v>
      </x:c>
    </x:row>
    <x:row r="27" ht="45" customHeight="1">
      <x:c r="A27" s="21" t="str">
        <x:v>I18</x:v>
      </x:c>
      <x:c r="B27" s="21" t="str">
        <x:v>Additional federal funding unresolved</x:v>
      </x:c>
      <x:c r="C27" s="90" t="str">
        <x:f>IF(COUNT(C25:C26)&lt;2,"Unpriced",C21-C25-C26)</x:f>
        <x:v>Unpriced</x:v>
      </x:c>
      <x:c r="D27" s="21" t="str">
        <x:v>No zero default. A negative result means potential overcoverage, not an automatic saving</x:v>
      </x:c>
    </x:row>
    <x:row r="28" ht="45" customHeight="1">
      <x:c r="A28" s="21" t="str">
        <x:v>I19</x:v>
      </x:c>
      <x:c r="B28" s="21" t="str">
        <x:v>State nonfederal appropriation available</x:v>
      </x:c>
      <x:c r="C28" s="85"/>
      <x:c r="D28" s="21" t="str">
        <x:v>UNKNOWN. Dollar amount for the state Medicaid share of this increment only</x:v>
      </x:c>
    </x:row>
    <x:row r="29" ht="45" customHeight="1">
      <x:c r="A29" s="21" t="str">
        <x:v>I20</x:v>
      </x:c>
      <x:c r="B29" s="21" t="str">
        <x:v>State Medicaid funding unresolved</x:v>
      </x:c>
      <x:c r="C29" s="86" t="str">
        <x:f>IF(ISNUMBER(C28),C22-C28,"Unpriced")</x:f>
        <x:v>Unpriced</x:v>
      </x:c>
      <x:c r="D29" s="21" t="str">
        <x:v>Other-program financing in I11 remains separately unresolved</x:v>
      </x:c>
    </x:row>
    <x:row r="30">
      <x:c r="A30" s="1"/>
      <x:c r="B30" s="1"/>
      <x:c r="C30" s="83"/>
      <x:c r="D30" s="1"/>
    </x:row>
    <x:row r="31" ht="28" customHeight="1">
      <x:c r="A31" s="18" t="str">
        <x:v>Illustrative federal shared component: one CMS-IMP-13 cost owner</x:v>
      </x:c>
      <x:c r="B31" s="18"/>
      <x:c r="C31" s="77"/>
      <x:c r="D31" s="18"/>
    </x:row>
    <x:row r="32" ht="45" customHeight="1">
      <x:c r="A32" s="21" t="str">
        <x:v>I21</x:v>
      </x:c>
      <x:c r="B32" s="21" t="str">
        <x:v>Incremental shared federal release</x:v>
      </x:c>
      <x:c r="C32" s="85" t="n">
        <x:v>3000000</x:v>
      </x:c>
      <x:c r="D32" s="21" t="str">
        <x:v>Illustrative CMS-IMP-13 resource cost; no inferred relation to the $3.544bn IT portfolio</x:v>
      </x:c>
    </x:row>
    <x:row r="33" ht="45" customHeight="1">
      <x:c r="A33" s="21" t="str">
        <x:v>I22</x:v>
      </x:c>
      <x:c r="B33" s="21" t="str">
        <x:v>CMS-IMP-02 benefiting-work units</x:v>
      </x:c>
      <x:c r="C33" s="87" t="n">
        <x:v>60</x:v>
      </x:c>
      <x:c r="D33" s="21" t="str">
        <x:v>Illustrative supported interface/test units</x:v>
      </x:c>
    </x:row>
    <x:row r="34" ht="45" customHeight="1">
      <x:c r="A34" s="21" t="str">
        <x:v>I23</x:v>
      </x:c>
      <x:c r="B34" s="21" t="str">
        <x:v>CMS-IMP-06 benefiting-work units</x:v>
      </x:c>
      <x:c r="C34" s="87" t="n">
        <x:v>40</x:v>
      </x:c>
      <x:c r="D34" s="21" t="str">
        <x:v>Illustrative future auto-enrollment use; not required for 2030 restoration</x:v>
      </x:c>
    </x:row>
    <x:row r="35" ht="45" customHeight="1">
      <x:c r="A35" s="21" t="str">
        <x:v>I24</x:v>
      </x:c>
      <x:c r="B35" s="21" t="str">
        <x:v>Attributed CMS-IMP-02 share</x:v>
      </x:c>
      <x:c r="C35" s="86" t="n">
        <x:f>C32*C33/SUM(C33:C34)</x:f>
        <x:v>1800000</x:v>
      </x:c>
      <x:c r="D35" s="21" t="str">
        <x:v>Non-add memorandum share, NOT a second CMS-IMP-02 funding line</x:v>
      </x:c>
    </x:row>
    <x:row r="36" ht="45" customHeight="1">
      <x:c r="A36" s="21" t="str">
        <x:v>I25</x:v>
      </x:c>
      <x:c r="B36" s="21" t="str">
        <x:v>Attributed CMS-IMP-06 share</x:v>
      </x:c>
      <x:c r="C36" s="86" t="n">
        <x:f>C32-C35</x:f>
        <x:v>1200000</x:v>
      </x:c>
      <x:c r="D36" s="21" t="str">
        <x:v>Non-add memorandum share; total owned by CMS-IMP-13 once</x:v>
      </x:c>
    </x:row>
    <x:row r="37" ht="45" customHeight="1">
      <x:c r="A37" s="21" t="str">
        <x:v>I26</x:v>
      </x:c>
      <x:c r="B37" s="21" t="str">
        <x:v>Shared component reconciliation</x:v>
      </x:c>
      <x:c r="C37" s="84" t="n">
        <x:f>SUM(C35:C36)-C32</x:f>
        <x:v>0</x:v>
      </x:c>
      <x:c r="D37" s="21" t="str">
        <x:v>Expected 0.00; allocation driver needs review</x:v>
      </x:c>
    </x:row>
    <x:row r="38">
      <x:c r="A38" s="1"/>
      <x:c r="B38" s="1"/>
      <x:c r="C38" s="83"/>
      <x:c r="D38" s="1"/>
    </x:row>
    <x:row r="39" ht="28" customHeight="1">
      <x:c r="A39" s="18" t="str">
        <x:v>Actual pilot cost lines: amounts genuinely unknown</x:v>
      </x:c>
      <x:c r="B39" s="18"/>
      <x:c r="C39" s="77"/>
      <x:c r="D39" s="18"/>
      <x:c r="E39" s="44"/>
      <x:c r="F39" s="44"/>
      <x:c r="G39" s="44"/>
      <x:c r="H39" s="44"/>
    </x:row>
    <x:row r="40" ht="55" customHeight="1">
      <x:c r="A40" s="5" t="str">
        <x:v>Cost ID</x:v>
      </x:c>
      <x:c r="B40" s="5" t="str">
        <x:v>Work / one owner</x:v>
      </x:c>
      <x:c r="C40" s="91" t="str">
        <x:v>Gross incremental USD</x:v>
      </x:c>
      <x:c r="D40" s="5" t="str">
        <x:v>Included HLT USD</x:v>
      </x:c>
      <x:c r="E40" s="47" t="str">
        <x:v>Usable funding USD</x:v>
      </x:c>
      <x:c r="F40" s="47" t="str">
        <x:v>Net new funding USD</x:v>
      </x:c>
      <x:c r="G40" s="47" t="str">
        <x:v>Funding candidate</x:v>
      </x:c>
      <x:c r="H40" s="47" t="str">
        <x:v>Review / evidence</x:v>
      </x:c>
    </x:row>
    <x:row r="41" ht="75" customHeight="1">
      <x:c r="A41" s="8" t="str">
        <x:v>C01</x:v>
      </x:c>
      <x:c r="B41" s="8" t="str">
        <x:v>CMS-IMP-01 federal conversion leadership</x:v>
      </x:c>
      <x:c r="C41" s="92"/>
      <x:c r="D41" s="55"/>
      <x:c r="E41" s="56"/>
      <x:c r="F41" s="57" t="str">
        <x:f>IF(COUNT(C41:E41)&lt;3,"Unpriced",C41-D41-E41)</x:f>
        <x:v>Unpriced</x:v>
      </x:c>
      <x:c r="G41" s="54" t="str">
        <x:v>CAP-7S finite federal setup</x:v>
      </x:c>
      <x:c r="H41" s="54" t="str">
        <x:v>Q02/Q04; no automatic extra bridge</x:v>
      </x:c>
    </x:row>
    <x:row r="42" ht="75" customHeight="1">
      <x:c r="A42" s="8" t="str">
        <x:v>C02</x:v>
      </x:c>
      <x:c r="B42" s="8" t="str">
        <x:v>CMS-IMP-13 shared federal interfaces / setup</x:v>
      </x:c>
      <x:c r="C42" s="92"/>
      <x:c r="D42" s="55"/>
      <x:c r="E42" s="56"/>
      <x:c r="F42" s="57" t="str">
        <x:f>IF(COUNT(C42:E42)&lt;3,"Unpriced",C42-D42-E42)</x:f>
        <x:v>Unpriced</x:v>
      </x:c>
      <x:c r="G42" s="54" t="str">
        <x:v>CAP-7S residual once</x:v>
      </x:c>
      <x:c r="H42" s="54" t="str">
        <x:v>Q01/Q02/Q05; shares non-add</x:v>
      </x:c>
    </x:row>
    <x:row r="43" ht="75" customHeight="1">
      <x:c r="A43" s="8" t="str">
        <x:v>C03</x:v>
      </x:c>
      <x:c r="B43" s="8" t="str">
        <x:v>CMS-IMP-11 independent assurance / accessibility</x:v>
      </x:c>
      <x:c r="C43" s="92"/>
      <x:c r="D43" s="55"/>
      <x:c r="E43" s="56"/>
      <x:c r="F43" s="57" t="str">
        <x:f>IF(COUNT(C43:E43)&lt;3,"Unpriced",C43-D43-E43)</x:f>
        <x:v>Unpriced</x:v>
      </x:c>
      <x:c r="G43" s="54" t="str">
        <x:v>CAP-7S setup; recurring home separately</x:v>
      </x:c>
      <x:c r="H43" s="54" t="str">
        <x:v>Q02/Q05; exclude duplicate 02/13 testing</x:v>
      </x:c>
    </x:row>
    <x:row r="44" ht="75" customHeight="1">
      <x:c r="A44" s="8" t="str">
        <x:v>C04</x:v>
      </x:c>
      <x:c r="B44" s="8" t="str">
        <x:v>CMS-IMP-02 federal share of state setup</x:v>
      </x:c>
      <x:c r="C44" s="93" t="str">
        <x:f>F72</x:f>
        <x:v>Unpriced</x:v>
      </x:c>
      <x:c r="D44" s="55"/>
      <x:c r="E44" s="56"/>
      <x:c r="F44" s="57" t="str">
        <x:f>IF(COUNT(C44:E44)&lt;3,"Unpriced",C44-D44-E44)</x:f>
        <x:v>Unpriced</x:v>
      </x:c>
      <x:c r="G44" s="54" t="str">
        <x:v>HLT-1/4 administration and approved FFP</x:v>
      </x:c>
      <x:c r="H44" s="54" t="str">
        <x:v>Q01/Q02; no CAP+FFP duplicate</x:v>
      </x:c>
    </x:row>
    <x:row r="45" ht="75" customHeight="1">
      <x:c r="A45" s="8" t="str">
        <x:v>C05</x:v>
      </x:c>
      <x:c r="B45" s="8" t="str">
        <x:v>CMS-IMP-02 federal share of ongoing casework</x:v>
      </x:c>
      <x:c r="C45" s="93" t="str">
        <x:f>F73</x:f>
        <x:v>Unpriced</x:v>
      </x:c>
      <x:c r="D45" s="55"/>
      <x:c r="E45" s="56"/>
      <x:c r="F45" s="57" t="str">
        <x:f>IF(COUNT(C45:E45)&lt;3,"Unpriced",C45-D45-E45)</x:f>
        <x:v>Unpriced</x:v>
      </x:c>
      <x:c r="G45" s="54" t="str">
        <x:v>HLT-1/4; applicable administration FFP</x:v>
      </x:c>
      <x:c r="H45" s="54" t="str">
        <x:v>Q01/Q04; permanent resource and funding gap</x:v>
      </x:c>
    </x:row>
    <x:row r="46" ht="75" customHeight="1">
      <x:c r="A46" s="8" t="str">
        <x:v>C06</x:v>
      </x:c>
      <x:c r="B46" s="8" t="str">
        <x:v>CMS-IMP-13 retained federal hosting / support</x:v>
      </x:c>
      <x:c r="C46" s="92"/>
      <x:c r="D46" s="55"/>
      <x:c r="E46" s="56"/>
      <x:c r="F46" s="57" t="str">
        <x:f>IF(COUNT(C46:E46)&lt;3,"Unpriced",C46-D46-E46)</x:f>
        <x:v>Unpriced</x:v>
      </x:c>
      <x:c r="G46" s="54" t="str">
        <x:v>CAP-7 or reconciled HLT allowance</x:v>
      </x:c>
      <x:c r="H46" s="54" t="str">
        <x:v>Q02/Q05; not finite surge for permanent operations</x:v>
      </x:c>
    </x:row>
    <x:row r="47">
      <x:c r="A47" s="1"/>
      <x:c r="B47" s="1"/>
      <x:c r="C47" s="83"/>
      <x:c r="D47" s="1"/>
    </x:row>
    <x:row r="48" ht="45" customHeight="1">
      <x:c r="A48" s="21" t="str">
        <x:v>C07</x:v>
      </x:c>
      <x:c r="B48" s="21" t="str">
        <x:v>Complete additional federal funding total</x:v>
      </x:c>
      <x:c r="C48" s="86" t="str">
        <x:f>IF(COUNT(F41:F46)&lt;ROWS(F41:F46),"Unpriced",SUM(F41:F46))</x:f>
        <x:v>Unpriced</x:v>
      </x:c>
      <x:c r="D48" s="21" t="str">
        <x:v>Six tracked lines only; excluded benefits and other-state costs are not zero</x:v>
      </x:c>
    </x:row>
    <x:row r="49" ht="45" customHeight="1">
      <x:c r="A49" s="21" t="str">
        <x:v>C08</x:v>
      </x:c>
      <x:c r="B49" s="21" t="str">
        <x:v>Unpriced tracked cost lines</x:v>
      </x:c>
      <x:c r="C49" s="94" t="n">
        <x:f>ROWS(F41:F46)-COUNT(F41:F46)</x:f>
        <x:v>6</x:v>
      </x:c>
      <x:c r="D49" s="21" t="str">
        <x:v>Unknown amount is never replaced by zero</x:v>
      </x:c>
    </x:row>
    <x:row r="50">
      <x:c r="A50" s="1"/>
      <x:c r="B50" s="1"/>
      <x:c r="C50" s="83"/>
      <x:c r="D50" s="1"/>
    </x:row>
    <x:row r="51" ht="28" customHeight="1">
      <x:c r="A51" s="18" t="str">
        <x:v>FY2029 and later cash: actual planning entries, not illustrative values</x:v>
      </x:c>
      <x:c r="B51" s="18"/>
      <x:c r="C51" s="77"/>
      <x:c r="D51" s="18"/>
      <x:c r="E51" s="44"/>
      <x:c r="F51" s="44"/>
      <x:c r="G51" s="44"/>
      <x:c r="H51" s="44"/>
    </x:row>
    <x:row r="52" ht="55" customHeight="1">
      <x:c r="A52" s="5" t="str">
        <x:v>FFY</x:v>
      </x:c>
      <x:c r="B52" s="5" t="str">
        <x:v>Stage / legal scope</x:v>
      </x:c>
      <x:c r="C52" s="91" t="str">
        <x:v>Federal obligations USD</x:v>
      </x:c>
      <x:c r="D52" s="5" t="str">
        <x:v>Federal cash incl. draws USD</x:v>
      </x:c>
      <x:c r="E52" s="47" t="str">
        <x:v>State gross cash USD</x:v>
      </x:c>
      <x:c r="F52" s="47" t="str">
        <x:v>State-cost draw (subset of federal cash) USD</x:v>
      </x:c>
      <x:c r="G52" s="47" t="str">
        <x:v>State own-source cash USD</x:v>
      </x:c>
      <x:c r="H52" s="47" t="str">
        <x:v>Known limitation</x:v>
      </x:c>
    </x:row>
    <x:row r="53" ht="65" customHeight="1">
      <x:c r="A53" s="8" t="n">
        <x:v>2029</x:v>
      </x:c>
      <x:c r="B53" s="8" t="str">
        <x:v>All CAP-7S legally available on enactment, subject to enacted mechanics</x:v>
      </x:c>
      <x:c r="C53" s="92"/>
      <x:c r="D53" s="55"/>
      <x:c r="E53" s="56"/>
      <x:c r="F53" s="56"/>
      <x:c r="G53" s="56"/>
      <x:c r="H53" s="54" t="str">
        <x:v>CMS provisional $50bn lifetime share is not 2029 cash</x:v>
      </x:c>
    </x:row>
    <x:row r="54" ht="65" customHeight="1">
      <x:c r="A54" s="8" t="n">
        <x:v>2030</x:v>
      </x:c>
      <x:c r="B54" s="8" t="str">
        <x:v>Cash to follow work; no annual release restriction</x:v>
      </x:c>
      <x:c r="C54" s="92"/>
      <x:c r="D54" s="55"/>
      <x:c r="E54" s="56"/>
      <x:c r="F54" s="56"/>
      <x:c r="G54" s="56"/>
      <x:c r="H54" s="54" t="str">
        <x:v>Separate setup from recurring CAP-7 / HLT service</x:v>
      </x:c>
    </x:row>
    <x:row r="55" ht="65" customHeight="1">
      <x:c r="A55" s="8" t="n">
        <x:v>2031</x:v>
      </x:c>
      <x:c r="B55" s="8" t="str">
        <x:v>Cash to follow work; no annual release restriction</x:v>
      </x:c>
      <x:c r="C55" s="92"/>
      <x:c r="D55" s="55"/>
      <x:c r="E55" s="56"/>
      <x:c r="F55" s="56"/>
      <x:c r="G55" s="56"/>
      <x:c r="H55" s="54" t="str">
        <x:v>Separate setup from recurring CAP-7 / HLT service</x:v>
      </x:c>
    </x:row>
    <x:row r="56" ht="65" customHeight="1">
      <x:c r="A56" s="8" t="n">
        <x:v>2032</x:v>
      </x:c>
      <x:c r="B56" s="8" t="str">
        <x:v>Cash to follow work; no annual release restriction</x:v>
      </x:c>
      <x:c r="C56" s="92"/>
      <x:c r="D56" s="55"/>
      <x:c r="E56" s="56"/>
      <x:c r="F56" s="56"/>
      <x:c r="G56" s="56"/>
      <x:c r="H56" s="54" t="str">
        <x:v>Separate setup from recurring CAP-7 / HLT service</x:v>
      </x:c>
    </x:row>
    <x:row r="57" ht="65" customHeight="1">
      <x:c r="A57" s="8" t="n">
        <x:v>2033</x:v>
      </x:c>
      <x:c r="B57" s="8" t="str">
        <x:v>Cash to follow work; no annual release restriction</x:v>
      </x:c>
      <x:c r="C57" s="92"/>
      <x:c r="D57" s="55"/>
      <x:c r="E57" s="56"/>
      <x:c r="F57" s="56"/>
      <x:c r="G57" s="56"/>
      <x:c r="H57" s="54" t="str">
        <x:v>Separate setup from recurring CAP-7 / HLT service</x:v>
      </x:c>
    </x:row>
    <x:row r="58" ht="65" customHeight="1">
      <x:c r="A58" s="8" t="n">
        <x:v>2034</x:v>
      </x:c>
      <x:c r="B58" s="8" t="str">
        <x:v>Cash to follow work; no annual release restriction</x:v>
      </x:c>
      <x:c r="C58" s="92"/>
      <x:c r="D58" s="55"/>
      <x:c r="E58" s="56"/>
      <x:c r="F58" s="56"/>
      <x:c r="G58" s="56"/>
      <x:c r="H58" s="54" t="str">
        <x:v>Separate setup from recurring CAP-7 / HLT service</x:v>
      </x:c>
    </x:row>
    <x:row r="59" ht="65" customHeight="1">
      <x:c r="A59" s="8" t="n">
        <x:v>2035</x:v>
      </x:c>
      <x:c r="B59" s="8" t="str">
        <x:v>Cash to follow work; no annual release restriction</x:v>
      </x:c>
      <x:c r="C59" s="92"/>
      <x:c r="D59" s="55"/>
      <x:c r="E59" s="56"/>
      <x:c r="F59" s="56"/>
      <x:c r="G59" s="56"/>
      <x:c r="H59" s="54" t="str">
        <x:v>Separate setup from recurring CAP-7 / HLT service</x:v>
      </x:c>
    </x:row>
    <x:row r="60" ht="65" customHeight="1">
      <x:c r="A60" s="8" t="n">
        <x:v>2036</x:v>
      </x:c>
      <x:c r="B60" s="8" t="str">
        <x:v>Cash to follow work; no annual release restriction</x:v>
      </x:c>
      <x:c r="C60" s="92"/>
      <x:c r="D60" s="55"/>
      <x:c r="E60" s="56"/>
      <x:c r="F60" s="56"/>
      <x:c r="G60" s="56"/>
      <x:c r="H60" s="54" t="str">
        <x:v>Separate setup from recurring CAP-7 / HLT service</x:v>
      </x:c>
    </x:row>
    <x:row r="61" ht="65" customHeight="1">
      <x:c r="A61" s="8" t="n">
        <x:v>2037</x:v>
      </x:c>
      <x:c r="B61" s="8" t="str">
        <x:v>Cash to follow work; no annual release restriction</x:v>
      </x:c>
      <x:c r="C61" s="92"/>
      <x:c r="D61" s="55"/>
      <x:c r="E61" s="56"/>
      <x:c r="F61" s="56"/>
      <x:c r="G61" s="56"/>
      <x:c r="H61" s="54" t="str">
        <x:v>Separate setup from recurring CAP-7 / HLT service</x:v>
      </x:c>
    </x:row>
    <x:row r="62" ht="65" customHeight="1">
      <x:c r="A62" s="8" t="n">
        <x:v>2038</x:v>
      </x:c>
      <x:c r="B62" s="8" t="str">
        <x:v>Cash to follow work; no annual release restriction</x:v>
      </x:c>
      <x:c r="C62" s="92"/>
      <x:c r="D62" s="55"/>
      <x:c r="E62" s="56"/>
      <x:c r="F62" s="56"/>
      <x:c r="G62" s="56"/>
      <x:c r="H62" s="54" t="str">
        <x:v>Separate setup from recurring CAP-7 / HLT service</x:v>
      </x:c>
    </x:row>
    <x:row r="63" ht="65" customHeight="1">
      <x:c r="A63" s="8" t="n">
        <x:v>2039</x:v>
      </x:c>
      <x:c r="B63" s="8" t="str">
        <x:v>Cash to follow work; no annual release restriction</x:v>
      </x:c>
      <x:c r="C63" s="92"/>
      <x:c r="D63" s="55"/>
      <x:c r="E63" s="56"/>
      <x:c r="F63" s="56"/>
      <x:c r="G63" s="56"/>
      <x:c r="H63" s="54" t="str">
        <x:v>Separate setup from recurring CAP-7 / HLT service</x:v>
      </x:c>
    </x:row>
    <x:row r="64">
      <x:c r="A64" s="1"/>
      <x:c r="B64" s="1"/>
      <x:c r="C64" s="83"/>
      <x:c r="D64" s="1"/>
    </x:row>
    <x:row r="65" ht="45" customHeight="1">
      <x:c r="A65" s="21" t="str">
        <x:v>CF01</x:v>
      </x:c>
      <x:c r="B65" s="21" t="str">
        <x:v>Federal FY2029 cash</x:v>
      </x:c>
      <x:c r="C65" s="86" t="str">
        <x:f>IF(ISNUMBER(D53),D53,"Unpriced")</x:f>
        <x:v>Unpriced</x:v>
      </x:c>
      <x:c r="D65" s="21" t="str">
        <x:v>Outside 2030–39; unknown does not mean zero</x:v>
      </x:c>
    </x:row>
    <x:row r="66" ht="45" customHeight="1">
      <x:c r="A66" s="21" t="str">
        <x:v>CF02</x:v>
      </x:c>
      <x:c r="B66" s="21" t="str">
        <x:v>Federal FY2030–39 cash</x:v>
      </x:c>
      <x:c r="C66" s="86" t="str">
        <x:f>IF(COUNT(D54:D63)&lt;10,"Unpriced",SUM(D54:D63))</x:f>
        <x:v>Unpriced</x:v>
      </x:c>
      <x:c r="D66" s="21" t="str">
        <x:v>Do not auto-normalize later cash back to the lifetime provisional amount</x:v>
      </x:c>
    </x:row>
    <x:row r="67" ht="45" customHeight="1">
      <x:c r="A67" s="21" t="str">
        <x:v>CF03</x:v>
      </x:c>
      <x:c r="B67" s="21" t="str">
        <x:v>Post-FY2039 remaining setup cash</x:v>
      </x:c>
      <x:c r="C67" s="85"/>
      <x:c r="D67" s="21" t="str">
        <x:v>UNKNOWN. Include to reconcile lifetime setup obligations and cash</x:v>
      </x:c>
    </x:row>
    <x:row r="68" ht="45" customHeight="1">
      <x:c r="A68" s="21" t="str">
        <x:v>CF04</x:v>
      </x:c>
      <x:c r="B68" s="21" t="str">
        <x:v>FY2040+ recurring annual operations</x:v>
      </x:c>
      <x:c r="C68" s="85"/>
      <x:c r="D68" s="21" t="str">
        <x:v>UNKNOWN. Must meet D4 at maturity and later years; no new amount adopted</x:v>
      </x:c>
    </x:row>
    <x:row r="69">
      <x:c r="A69" s="1"/>
      <x:c r="B69" s="1"/>
      <x:c r="C69" s="83"/>
      <x:c r="D69" s="1"/>
    </x:row>
    <x:row r="70" ht="28" customHeight="1">
      <x:c r="A70" s="18" t="str">
        <x:v>Actual state cost assignments: memorandum federal shares feed C04/C05 once</x:v>
      </x:c>
      <x:c r="B70" s="18"/>
      <x:c r="C70" s="77"/>
      <x:c r="D70" s="18"/>
      <x:c r="E70" s="44"/>
      <x:c r="F70" s="44"/>
      <x:c r="G70" s="44"/>
      <x:c r="H70" s="44"/>
    </x:row>
    <x:row r="71" ht="55" customHeight="1">
      <x:c r="A71" s="5" t="str">
        <x:v>State cost ID</x:v>
      </x:c>
      <x:c r="B71" s="5" t="str">
        <x:v>Single state cost owner / work</x:v>
      </x:c>
      <x:c r="C71" s="5" t="str">
        <x:v>Gross increment USD</x:v>
      </x:c>
      <x:c r="D71" s="5" t="str">
        <x:v>Medicaid cost share</x:v>
      </x:c>
      <x:c r="E71" s="47" t="str">
        <x:v>Eligible FFP rate</x:v>
      </x:c>
      <x:c r="F71" s="47" t="str">
        <x:v>Federal Medicaid USD</x:v>
      </x:c>
      <x:c r="G71" s="47" t="str">
        <x:v>State Medicaid USD</x:v>
      </x:c>
      <x:c r="H71" s="47" t="str">
        <x:v>Other-program USD</x:v>
      </x:c>
    </x:row>
    <x:row r="72" ht="75" customHeight="1">
      <x:c r="A72" s="8" t="str">
        <x:v>S-C01</x:v>
      </x:c>
      <x:c r="B72" s="8" t="str">
        <x:v>CMS-IMP-02 state conversion / transition</x:v>
      </x:c>
      <x:c r="C72" s="55"/>
      <x:c r="D72" s="66"/>
      <x:c r="E72" s="67"/>
      <x:c r="F72" s="57" t="str">
        <x:f>IF(COUNT(C72:E72)&lt;3,"Unpriced",C72*D72*E72)</x:f>
        <x:v>Unpriced</x:v>
      </x:c>
      <x:c r="G72" s="57" t="str">
        <x:f>IF(COUNT(C72:E72)&lt;3,"Unpriced",C72*D72-F72)</x:f>
        <x:v>Unpriced</x:v>
      </x:c>
      <x:c r="H72" s="57" t="str">
        <x:f>IF(COUNT(C72:E72)&lt;3,"Unpriced",C72*(1-D72))</x:f>
        <x:v>Unpriced</x:v>
      </x:c>
    </x:row>
    <x:row r="73" ht="75" customHeight="1">
      <x:c r="A73" s="8" t="str">
        <x:v>S-C02</x:v>
      </x:c>
      <x:c r="B73" s="8" t="str">
        <x:v>CMS-IMP-02 state continuing casework / operations</x:v>
      </x:c>
      <x:c r="C73" s="55"/>
      <x:c r="D73" s="66"/>
      <x:c r="E73" s="67"/>
      <x:c r="F73" s="57" t="str">
        <x:f>IF(COUNT(C73:E73)&lt;3,"Unpriced",C73*D73*E73)</x:f>
        <x:v>Unpriced</x:v>
      </x:c>
      <x:c r="G73" s="57" t="str">
        <x:f>IF(COUNT(C73:E73)&lt;3,"Unpriced",C73*D73-F73)</x:f>
        <x:v>Unpriced</x:v>
      </x:c>
      <x:c r="H73" s="57" t="str">
        <x:f>IF(COUNT(C73:E73)&lt;3,"Unpriced",C73*(1-D73))</x:f>
        <x:v>Unpriced</x:v>
      </x:c>
    </x:row>
    <x:row r="74">
      <x:c r="A74" s="1"/>
      <x:c r="B74" s="1"/>
      <x:c r="C74" s="1"/>
      <x:c r="D74" s="1"/>
    </x:row>
    <x:row r="75">
      <x:c r="A75" s="1" t="str">
        <x:v>Keep state gross costs and their federal contributions in separate views. Funding approvals, embedded HLT costs, state appropriations, price years and cash timing remain unresolved.</x:v>
      </x:c>
      <x:c r="B75" s="1"/>
      <x:c r="C75" s="1"/>
      <x:c r="D75" s="1"/>
    </x:row>
    <x:row r="76">
      <x:c r="A76" s="1"/>
      <x:c r="B76" s="1"/>
      <x:c r="C76" s="1"/>
      <x:c r="D76" s="1"/>
    </x:row>
    <x:row r="77">
      <x:c r="A77" s="1"/>
      <x:c r="B77" s="1"/>
      <x:c r="C77" s="1"/>
      <x:c r="D77" s="1"/>
    </x:row>
    <x:row r="78">
      <x:c r="A78" s="1"/>
      <x:c r="B78" s="1"/>
      <x:c r="C78" s="1"/>
      <x:c r="D78" s="1"/>
    </x:row>
    <x:row r="79">
      <x:c r="A79" s="1"/>
      <x:c r="B79" s="1"/>
      <x:c r="C79" s="1"/>
      <x:c r="D79" s="1"/>
    </x:row>
    <x:row r="80">
      <x:c r="A80" s="1"/>
      <x:c r="B80" s="1"/>
      <x:c r="C80" s="1"/>
      <x:c r="D80" s="1"/>
    </x:row>
  </x:sheetData>
  <x:conditionalFormatting sqref="F41:F46">
    <x:cfRule type="containsText" dxfId="2" priority="1" operator="containsText" text="Unpriced"/>
  </x:conditionalFormatting>
  <x:dataValidations count="3">
    <x:dataValidation type="decimal" operator="between" sqref="D72:E73">
      <x:formula1>0</x:formula1>
      <x:formula2>1</x:formula2>
    </x:dataValidation>
    <x:dataValidation type="decimal" operator="greaterThan" sqref="C15:C16">
      <x:formula1>0</x:formula1>
    </x:dataValidation>
    <x:dataValidation type="decimal" operator="between" sqref="C20">
      <x:formula1>0</x:formula1>
      <x:formula2>1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27" hidden="0" customWidth="1"/>
    <x:col min="3" max="3" width="23" hidden="0" customWidth="1"/>
    <x:col min="4" max="4" width="48" hidden="0" customWidth="1"/>
    <x:col min="5" max="5" width="50" hidden="0" customWidth="1"/>
    <x:col min="6" max="6" width="66" hidden="0" customWidth="1"/>
    <x:col min="7" max="7" width="46" hidden="0" customWidth="1"/>
    <x:col min="8" max="8" width="46" hidden="0" customWidth="1"/>
    <x:col min="9" max="9" width="64" hidden="0" customWidth="1"/>
    <x:col min="10" max="10" width="65" hidden="0" customWidth="1"/>
    <x:col min="11" max="11" width="32" hidden="0" customWidth="1"/>
    <x:col min="12" max="12" width="3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Delivery work and review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 t="str">
        <x:v>T-keys only identify dossier tasks. Existing CMS-IMP identifiers remain the work-package authority. All schedules below require validation.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40" customHeight="1">
      <x:c r="A5" s="7" t="str">
        <x:v>Local task key</x:v>
      </x:c>
      <x:c r="B5" s="7" t="str">
        <x:v>Existing work-package ID</x:v>
      </x:c>
      <x:c r="C5" s="7" t="str">
        <x:v>Policy IDs</x:v>
      </x:c>
      <x:c r="D5" s="7" t="str">
        <x:v>Required work</x:v>
      </x:c>
      <x:c r="E5" s="7" t="str">
        <x:v>Proposed responsible owner</x:v>
      </x:c>
      <x:c r="F5" s="7" t="str">
        <x:v>Deliverable / boundary</x:v>
      </x:c>
      <x:c r="G5" s="7" t="str">
        <x:v>Dependency</x:v>
      </x:c>
      <x:c r="H5" s="7" t="str">
        <x:v>Schedule / target</x:v>
      </x:c>
      <x:c r="I5" s="7" t="str">
        <x:v>Evidence of readiness</x:v>
      </x:c>
      <x:c r="J5" s="7" t="str">
        <x:v>Resources / funding question</x:v>
      </x:c>
      <x:c r="K5" s="7" t="str">
        <x:v>Evidence / observation IDs</x:v>
      </x:c>
      <x:c r="L5" s="7" t="str">
        <x:v>Finding type</x:v>
      </x:c>
    </x:row>
    <x:row r="6" ht="72" customHeight="1">
      <x:c r="A6" s="10" t="str">
        <x:v>T01</x:v>
      </x:c>
      <x:c r="B6" s="10" t="str">
        <x:v>CMS-IMP-02</x:v>
      </x:c>
      <x:c r="C6" s="10" t="str">
        <x:v>HLT-1;HLT-4</x:v>
      </x:c>
      <x:c r="D6" s="10" t="str">
        <x:v>Specify restoration and continuous-coverage conversion</x:v>
      </x:c>
      <x:c r="E6" s="10" t="str">
        <x:v>OHA/OEP and CMS Medicaid program owners</x:v>
      </x:c>
      <x:c r="F6" s="10" t="str">
        <x:v>Identify affected rules, cohorts and effective dates; protect SNAP/other rules</x:v>
      </x:c>
      <x:c r="G6" s="10" t="str">
        <x:v>CMS-IMP-01; statutory text</x:v>
      </x:c>
      <x:c r="H6" s="10" t="str">
        <x:v>2027–28 preparation; refresh at enactment</x:v>
      </x:c>
      <x:c r="I6" s="10" t="str">
        <x:v>Approved requirements and policy-to-rule trace</x:v>
      </x:c>
      <x:c r="J6" s="10" t="str">
        <x:v>Staff/legal analysts; APD planning; cost UNKNOWN</x:v>
      </x:c>
      <x:c r="K6" s="10" t="str">
        <x:v>P02;P03;E08</x:v>
      </x:c>
      <x:c r="L6" s="10" t="str">
        <x:v>Missing analysis; specialist review</x:v>
      </x:c>
    </x:row>
    <x:row r="7" ht="72" customHeight="1">
      <x:c r="A7" s="9" t="str">
        <x:v>T02</x:v>
      </x:c>
      <x:c r="B7" s="9" t="str">
        <x:v>CMS-IMP-02</x:v>
      </x:c>
      <x:c r="C7" s="9" t="str">
        <x:v>HLT-1;HLT-4</x:v>
      </x:c>
      <x:c r="D7" s="9" t="str">
        <x:v>Prepare APD, allocation and state funding plan</x:v>
      </x:c>
      <x:c r="E7" s="9" t="str">
        <x:v>OHA/OEP budget and systems; CMS; other program partners</x:v>
      </x:c>
      <x:c r="F7" s="9" t="str">
        <x:v>Separate direct Medicaid changes, shared components and maintenance</x:v>
      </x:c>
      <x:c r="G7" s="9" t="str">
        <x:v>T01; CMS-IMP-13 interface scope</x:v>
      </x:c>
      <x:c r="H7" s="9" t="str">
        <x:v>FY2029 after funding/authority; before claimable expenditure</x:v>
      </x:c>
      <x:c r="I7" s="9" t="str">
        <x:v>CMS and other required approvals; state appropriation and draw plan</x:v>
      </x:c>
      <x:c r="J7" s="9" t="str">
        <x:v>State/federal shares; no presumed enhanced match</x:v>
      </x:c>
      <x:c r="K7" s="9" t="str">
        <x:v>E10;E11;E12;E13</x:v>
      </x:c>
      <x:c r="L7" s="9" t="str">
        <x:v>Specialist review</x:v>
      </x:c>
    </x:row>
    <x:row r="8" ht="72" customHeight="1">
      <x:c r="A8" s="10" t="str">
        <x:v>T03</x:v>
      </x:c>
      <x:c r="B8" s="10" t="str">
        <x:v>CMS-IMP-02</x:v>
      </x:c>
      <x:c r="C8" s="10" t="str">
        <x:v>HLT-1</x:v>
      </x:c>
      <x:c r="D8" s="10" t="str">
        <x:v>Implement ONE rules and Medicaid/marketplace handoffs</x:v>
      </x:c>
      <x:c r="E8" s="10" t="str">
        <x:v>OEP system owner; OHA marketplace; contractor if authorized</x:v>
      </x:c>
      <x:c r="F8" s="10" t="str">
        <x:v>Version rules; conversion/reprocessing; issuer/MMIS acknowledgments; regression suite</x:v>
      </x:c>
      <x:c r="G8" s="10" t="str">
        <x:v>T01; T02; CMS-IMP-13; CMS-IMP-11</x:v>
      </x:c>
      <x:c r="H8" s="10" t="str">
        <x:v>FY2029 releases before plan year 2030</x:v>
      </x:c>
      <x:c r="I8" s="10" t="str">
        <x:v>End-to-end tests, exception queues, rollback and recovery evidence</x:v>
      </x:c>
      <x:c r="J8" s="10" t="str">
        <x:v>Development orders, migration, parallel run and hosting UNKNOWN</x:v>
      </x:c>
      <x:c r="K8" s="10" t="str">
        <x:v>E08;P03</x:v>
      </x:c>
      <x:c r="L8" s="10" t="str">
        <x:v>Delivery unpriced</x:v>
      </x:c>
    </x:row>
    <x:row r="9" ht="72" customHeight="1">
      <x:c r="A9" s="9" t="str">
        <x:v>T04</x:v>
      </x:c>
      <x:c r="B9" s="9" t="str">
        <x:v>CMS-IMP-13</x:v>
      </x:c>
      <x:c r="C9" s="9" t="str">
        <x:v>shared; HLT-1; HLT-3</x:v>
      </x:c>
      <x:c r="D9" s="9" t="str">
        <x:v>Prepare federal interfaces, hosting and shared services</x:v>
      </x:c>
      <x:c r="E9" s="9" t="str">
        <x:v>CMS chief information/acquisition and program owners</x:v>
      </x:c>
      <x:c r="F9" s="9" t="str">
        <x:v>Confirm Hub/data contracts, authentication, peak capacity, monitoring and support</x:v>
      </x:c>
      <x:c r="G9" s="9" t="str">
        <x:v>CMS-IMP-01; partner data approvals</x:v>
      </x:c>
      <x:c r="H9" s="9" t="str">
        <x:v>FY2029 onward; before state integration tests</x:v>
      </x:c>
      <x:c r="I9" s="9" t="str">
        <x:v>Interface agreements and signed capacity/security test results</x:v>
      </x:c>
      <x:c r="J9" s="9" t="str">
        <x:v>One federal cost owner; benefiting-package allocation pending</x:v>
      </x:c>
      <x:c r="K9" s="9" t="str">
        <x:v>E02;P04</x:v>
      </x:c>
      <x:c r="L9" s="9" t="str">
        <x:v>Missing analysis</x:v>
      </x:c>
    </x:row>
    <x:row r="10" ht="72" customHeight="1">
      <x:c r="A10" s="10" t="str">
        <x:v>T05</x:v>
      </x:c>
      <x:c r="B10" s="10" t="str">
        <x:v>CMS-IMP-02</x:v>
      </x:c>
      <x:c r="C10" s="10" t="str">
        <x:v>HLT-1;HLT-4</x:v>
      </x:c>
      <x:c r="D10" s="10" t="str">
        <x:v>Train staff and provide assisted service</x:v>
      </x:c>
      <x:c r="E10" s="10" t="str">
        <x:v>OEP operations/training; navigators where in scope</x:v>
      </x:c>
      <x:c r="F10" s="10" t="str">
        <x:v>Train on changed rules; release/backfill staff; language/disability access</x:v>
      </x:c>
      <x:c r="G10" s="10" t="str">
        <x:v>T01; stable test build; notice rules</x:v>
      </x:c>
      <x:c r="H10" s="10" t="str">
        <x:v>FY2029 before launch and continuing</x:v>
      </x:c>
      <x:c r="I10" s="10" t="str">
        <x:v>Competency, accurate case processing and accessible-channel tests</x:v>
      </x:c>
      <x:c r="J10" s="10" t="str">
        <x:v>Productive hours and task-specific costs UNKNOWN</x:v>
      </x:c>
      <x:c r="K10" s="10" t="str">
        <x:v>S46;S47;S48;E15</x:v>
      </x:c>
      <x:c r="L10" s="10" t="str">
        <x:v>Missing analysis</x:v>
      </x:c>
    </x:row>
    <x:row r="11" ht="72" customHeight="1">
      <x:c r="A11" s="9" t="str">
        <x:v>T06</x:v>
      </x:c>
      <x:c r="B11" s="9" t="str">
        <x:v>CMS-IMP-11</x:v>
      </x:c>
      <x:c r="C11" s="9" t="str">
        <x:v>HLT-1;shared</x:v>
      </x:c>
      <x:c r="D11" s="9" t="str">
        <x:v>Test safety, accessibility and integrated notices</x:v>
      </x:c>
      <x:c r="E11" s="9" t="str">
        <x:v>CMS assurance with state independent testers</x:v>
      </x:c>
      <x:c r="F11" s="9" t="str">
        <x:v>False denials/approvals; security; accessible notices; deduplication</x:v>
      </x:c>
      <x:c r="G11" s="9" t="str">
        <x:v>T03;T04; CMS-IMP-01 integration owner</x:v>
      </x:c>
      <x:c r="H11" s="9" t="str">
        <x:v>Before each release; continuing</x:v>
      </x:c>
      <x:c r="I11" s="9" t="str">
        <x:v>Independent findings, fixes and unresolved risks published</x:v>
      </x:c>
      <x:c r="J11" s="9" t="str">
        <x:v>Shared assurance split from 02 and 13 to prevent duplication</x:v>
      </x:c>
      <x:c r="K11" s="9" t="str">
        <x:v>P04;E15</x:v>
      </x:c>
      <x:c r="L11" s="9" t="str">
        <x:v>Proposed review mechanism</x:v>
      </x:c>
    </x:row>
    <x:row r="12" ht="72" customHeight="1">
      <x:c r="A12" s="10" t="str">
        <x:v>T07</x:v>
      </x:c>
      <x:c r="B12" s="10" t="str">
        <x:v>CMS-IMP-02</x:v>
      </x:c>
      <x:c r="C12" s="10" t="str">
        <x:v>HLT-1;HLT-4</x:v>
      </x:c>
      <x:c r="D12" s="10" t="str">
        <x:v>Operate correction, review and monthly monitoring</x:v>
      </x:c>
      <x:c r="E12" s="10" t="str">
        <x:v>OEP service/appeals; CMS oversight</x:v>
      </x:c>
      <x:c r="F12" s="10" t="str">
        <x:v>Human correction, case reprocessing, fair hearings, reporting and beneficiary feedback</x:v>
      </x:c>
      <x:c r="G12" s="10" t="str">
        <x:v>T03;T05;T06; federal/state legal review</x:v>
      </x:c>
      <x:c r="H12" s="10" t="str">
        <x:v>Plan year 2030 onward</x:v>
      </x:c>
      <x:c r="I12" s="10" t="str">
        <x:v>Coverage and correction outcomes, not only completed tasks</x:v>
      </x:c>
      <x:c r="J12" s="10" t="str">
        <x:v>Continuing operations cannot be hidden in finite surge</x:v>
      </x:c>
      <x:c r="K12" s="10" t="str">
        <x:v>E09;E15;E20</x:v>
      </x:c>
      <x:c r="L12" s="10" t="str">
        <x:v>Measurement / specialist review</x:v>
      </x:c>
    </x:row>
    <x:row r="13" ht="72" customHeight="1">
      <x:c r="A13" s="9" t="str">
        <x:v>T08</x:v>
      </x:c>
      <x:c r="B13" s="9" t="str">
        <x:v>CMS-IMP-08</x:v>
      </x:c>
      <x:c r="C13" s="9" t="str">
        <x:v>HLT-4</x:v>
      </x:c>
      <x:c r="D13" s="9" t="str">
        <x:v>Refer HCBS eligibility/access dependencies</x:v>
      </x:c>
      <x:c r="E13" s="9" t="str">
        <x:v>OHA/ODHS HCBS program owners and CMS</x:v>
      </x:c>
      <x:c r="F13" s="9" t="str">
        <x:v>Keep financial eligibility interface in 02; functional assessment/provider capacity in 08</x:v>
      </x:c>
      <x:c r="G13" s="9" t="str">
        <x:v>T01; HLT-4 specification</x:v>
      </x:c>
      <x:c r="H13" s="9" t="str">
        <x:v>FY2029 planning; service expansion from 2030</x:v>
      </x:c>
      <x:c r="I13" s="9" t="str">
        <x:v>Cross-package scope, payment/access and workforce plan</x:v>
      </x:c>
      <x:c r="J13" s="9" t="str">
        <x:v>Separate 08 costs; no second charge for 02 platform</x:v>
      </x:c>
      <x:c r="K13" s="9" t="str">
        <x:v>P03;P04</x:v>
      </x:c>
      <x:c r="L13" s="9" t="str">
        <x:v>Boundary / specialist review</x:v>
      </x:c>
    </x:row>
    <x:row r="16" ht="28" customHeight="1">
      <x:c r="A16" s="44" t="str">
        <x:v>Implementation alternatives</x:v>
      </x:c>
      <x:c r="B16" s="44"/>
      <x:c r="C16" s="44"/>
      <x:c r="D16" s="44"/>
      <x:c r="E16" s="44"/>
      <x:c r="F16" s="44"/>
    </x:row>
    <x:row r="17" ht="50" customHeight="1">
      <x:c r="A17" s="47" t="str">
        <x:v>Alternative</x:v>
      </x:c>
      <x:c r="B17" s="47" t="str">
        <x:v>Implementation choice</x:v>
      </x:c>
      <x:c r="C17" s="47" t="str">
        <x:v>Status</x:v>
      </x:c>
      <x:c r="D17" s="47" t="str">
        <x:v>Usable feature</x:v>
      </x:c>
      <x:c r="E17" s="47" t="str">
        <x:v>Main risk / condition</x:v>
      </x:c>
      <x:c r="F17" s="47" t="str">
        <x:v>Cost evidence needed</x:v>
      </x:c>
    </x:row>
    <x:row r="18" ht="100" customHeight="1">
      <x:c r="A18" s="54" t="str">
        <x:v>A1</x:v>
      </x:c>
      <x:c r="B18" s="54" t="str">
        <x:v>Modify existing ONE and federal interfaces</x:v>
      </x:c>
      <x:c r="C18" s="54" t="str">
        <x:v>Proposed preferred next estimate</x:v>
      </x:c>
      <x:c r="D18" s="54" t="str">
        <x:v>Reuse rules engine, existing case record and assisted channels; incremental releases</x:v>
      </x:c>
      <x:c r="E18" s="54" t="str">
        <x:v>Requires modifiable contracts, source/configuration access and throughput tests</x:v>
      </x:c>
      <x:c r="F18" s="54" t="str">
        <x:v>Price delta orders, testing, transition, backfill and recurring service; none established</x:v>
      </x:c>
    </x:row>
    <x:row r="19" ht="100" customHeight="1">
      <x:c r="A19" s="54" t="str">
        <x:v>A2</x:v>
      </x:c>
      <x:c r="B19" s="54" t="str">
        <x:v>Reuse core ONE with separate conversion/service module</x:v>
      </x:c>
      <x:c r="C19" s="54" t="str">
        <x:v>Proposed fallback for testing</x:v>
      </x:c>
      <x:c r="D19" s="54" t="str">
        <x:v>May isolate complex new logic without replacing the eligibility core</x:v>
      </x:c>
      <x:c r="E19" s="54" t="str">
        <x:v>Creates reconciliation, duplicate-record and support risks</x:v>
      </x:c>
      <x:c r="F19" s="54" t="str">
        <x:v>Compare integration plus lifecycle/retirement cost; no savings assumed</x:v>
      </x:c>
    </x:row>
    <x:row r="20" ht="100" customHeight="1">
      <x:c r="A20" s="54" t="str">
        <x:v>A3</x:v>
      </x:c>
      <x:c r="B20" s="54" t="str">
        <x:v>Replace the eligibility core</x:v>
      </x:c>
      <x:c r="C20" s="54" t="str">
        <x:v>Comparison alternative; not recommended for launch without stronger case</x:v>
      </x:c>
      <x:c r="D20" s="54" t="str">
        <x:v>Could address unsupported legacy constraints if demonstrated</x:v>
      </x:c>
      <x:c r="E20" s="54" t="str">
        <x:v>Data migration, procurement, approvals, parallel run and retraining extend critical path</x:v>
      </x:c>
      <x:c r="F20" s="54" t="str">
        <x:v>No credible price/schedule from public evidence; benefit deadline unchanged</x:v>
      </x:c>
    </x:row>
    <x:row r="23" ht="28" customHeight="1">
      <x:c r="A23" s="44" t="str">
        <x:v>Review and decision queue</x:v>
      </x:c>
      <x:c r="B23" s="44"/>
      <x:c r="C23" s="44"/>
      <x:c r="D23" s="44"/>
      <x:c r="E23" s="44"/>
      <x:c r="F23" s="44"/>
      <x:c r="G23" s="44"/>
      <x:c r="H23" s="44"/>
      <x:c r="I23" s="44"/>
    </x:row>
    <x:row r="24" ht="50" customHeight="1">
      <x:c r="A24" s="47" t="str">
        <x:v>Review ID</x:v>
      </x:c>
      <x:c r="B24" s="47" t="str">
        <x:v>Finding type</x:v>
      </x:c>
      <x:c r="C24" s="47" t="str">
        <x:v>Dimension</x:v>
      </x:c>
      <x:c r="D24" s="47" t="str">
        <x:v>Question / required evidence</x:v>
      </x:c>
      <x:c r="E24" s="47" t="str">
        <x:v>Review role</x:v>
      </x:c>
      <x:c r="F24" s="47" t="str">
        <x:v>Decision point</x:v>
      </x:c>
      <x:c r="G24" s="47" t="str">
        <x:v>Current status</x:v>
      </x:c>
      <x:c r="H24" s="47" t="str">
        <x:v>Reviewer response</x:v>
      </x:c>
      <x:c r="I24" s="47" t="str">
        <x:v>Decision / source version</x:v>
      </x:c>
    </x:row>
    <x:row r="25" ht="95" customHeight="1">
      <x:c r="A25" s="54" t="str">
        <x:v>Q01</x:v>
      </x:c>
      <x:c r="B25" s="54" t="str">
        <x:v>Missing analysis</x:v>
      </x:c>
      <x:c r="C25" s="54" t="str">
        <x:v>APD/financial</x:v>
      </x:c>
      <x:c r="D25" s="54" t="str">
        <x:v>Approved APDs, amendments, scope and funding-by-year</x:v>
      </x:c>
      <x:c r="E25" s="54" t="str">
        <x:v>State Medicaid systems/budget; CMS analyst</x:v>
      </x:c>
      <x:c r="F25" s="54" t="str">
        <x:v>Before pricing eligible federal claim</x:v>
      </x:c>
      <x:c r="G25" s="54" t="str">
        <x:v>Open</x:v>
      </x:c>
      <x:c r="H25" s="75" t="str"/>
      <x:c r="I25" s="75" t="str"/>
    </x:row>
    <x:row r="26" ht="95" customHeight="1">
      <x:c r="A26" s="54" t="str">
        <x:v>Q02</x:v>
      </x:c>
      <x:c r="B26" s="54" t="str">
        <x:v>Missing analysis</x:v>
      </x:c>
      <x:c r="C26" s="54" t="str">
        <x:v>Fiscal</x:v>
      </x:c>
      <x:c r="D26" s="54" t="str">
        <x:v>HLT-1/4 score admin allowance and baseline grants decomposition</x:v>
      </x:c>
      <x:c r="E26" s="54" t="str">
        <x:v>Budget scorer / project fiscal owner</x:v>
      </x:c>
      <x:c r="F26" s="54" t="str">
        <x:v>Before adding any CAP or Medicaid amount</x:v>
      </x:c>
      <x:c r="G26" s="54" t="str">
        <x:v>Open</x:v>
      </x:c>
      <x:c r="H26" s="75" t="str"/>
      <x:c r="I26" s="75" t="str"/>
    </x:row>
    <x:row r="27" ht="95" customHeight="1">
      <x:c r="A27" s="54" t="str">
        <x:v>Q03</x:v>
      </x:c>
      <x:c r="B27" s="54" t="str">
        <x:v>Specialist review</x:v>
      </x:c>
      <x:c r="C27" s="54" t="str">
        <x:v>Legal route</x:v>
      </x:c>
      <x:c r="D27" s="54" t="str">
        <x:v>Byrd/jurisdiction, data authority, purpose/time/amount and state appropriation</x:v>
      </x:c>
      <x:c r="E27" s="54" t="str">
        <x:v>Counsel / parliamentary / appropriation specialists</x:v>
      </x:c>
      <x:c r="F27" s="54" t="str">
        <x:v>Before R1 text and obligations</x:v>
      </x:c>
      <x:c r="G27" s="54" t="str">
        <x:v>Open</x:v>
      </x:c>
      <x:c r="H27" s="75" t="str"/>
      <x:c r="I27" s="75" t="str"/>
    </x:row>
    <x:row r="28" ht="95" customHeight="1">
      <x:c r="A28" s="54" t="str">
        <x:v>Q04</x:v>
      </x:c>
      <x:c r="B28" s="54" t="str">
        <x:v>Missing analysis</x:v>
      </x:c>
      <x:c r="C28" s="54" t="str">
        <x:v>Workforce</x:v>
      </x:c>
      <x:c r="D28" s="54" t="str">
        <x:v>Filled positions, occupational gaps, productive time, role rates and training backfill</x:v>
      </x:c>
      <x:c r="E28" s="54" t="str">
        <x:v>CMS and state HR/program leads</x:v>
      </x:c>
      <x:c r="F28" s="54" t="str">
        <x:v>Before staffing proposal or floor</x:v>
      </x:c>
      <x:c r="G28" s="54" t="str">
        <x:v>Open</x:v>
      </x:c>
      <x:c r="H28" s="75" t="str"/>
      <x:c r="I28" s="75" t="str"/>
    </x:row>
    <x:row r="29" ht="95" customHeight="1">
      <x:c r="A29" s="54" t="str">
        <x:v>Q05</x:v>
      </x:c>
      <x:c r="B29" s="54" t="str">
        <x:v>Missing analysis</x:v>
      </x:c>
      <x:c r="C29" s="54" t="str">
        <x:v>Contracts</x:v>
      </x:c>
      <x:c r="D29" s="54" t="str">
        <x:v>Executed ONE/hosting/training awards, modifications, deliverables and remaining funding</x:v>
      </x:c>
      <x:c r="E29" s="54" t="str">
        <x:v>Acquisition and system owners</x:v>
      </x:c>
      <x:c r="F29" s="54" t="str">
        <x:v>Before a reuse offset or delivery commitment</x:v>
      </x:c>
      <x:c r="G29" s="54" t="str">
        <x:v>Open</x:v>
      </x:c>
      <x:c r="H29" s="75" t="str"/>
      <x:c r="I29" s="75" t="str"/>
    </x:row>
    <x:row r="30" ht="95" customHeight="1">
      <x:c r="A30" s="54" t="str">
        <x:v>Q06</x:v>
      </x:c>
      <x:c r="B30" s="54" t="str">
        <x:v>Conflicting record</x:v>
      </x:c>
      <x:c r="C30" s="54" t="str">
        <x:v>Source comparability</x:v>
      </x:c>
      <x:c r="D30" s="54" t="str">
        <x:v>Separate ONE category fund total from major-cost chart; do not force tie</x:v>
      </x:c>
      <x:c r="E30" s="54" t="str">
        <x:v>State budget/system owner</x:v>
      </x:c>
      <x:c r="F30" s="54" t="str">
        <x:v>Before treating either as ONE-only baseline</x:v>
      </x:c>
      <x:c r="G30" s="54" t="str">
        <x:v>Open</x:v>
      </x:c>
      <x:c r="H30" s="75" t="str"/>
      <x:c r="I30" s="75" t="str"/>
    </x:row>
    <x:row r="31" ht="95" customHeight="1">
      <x:c r="A31" s="54" t="str">
        <x:v>Q07</x:v>
      </x:c>
      <x:c r="B31" s="54" t="str">
        <x:v>Conflicting record</x:v>
      </x:c>
      <x:c r="C31" s="54" t="str">
        <x:v>Source accuracy</x:v>
      </x:c>
      <x:c r="D31" s="54" t="str">
        <x:v>ARB narrative says prior SNAP federal match 75%; USDA describes standard 50% to 25%</x:v>
      </x:c>
      <x:c r="E31" s="54" t="str">
        <x:v>State budget / USDA program specialist</x:v>
      </x:c>
      <x:c r="F31" s="54" t="str">
        <x:v>Before any SNAP shared-funding calculation</x:v>
      </x:c>
      <x:c r="G31" s="54" t="str">
        <x:v>Open</x:v>
      </x:c>
      <x:c r="H31" s="75" t="str"/>
      <x:c r="I31" s="75" t="str"/>
    </x:row>
    <x:row r="32" ht="95" customHeight="1">
      <x:c r="A32" s="54" t="str">
        <x:v>Q08</x:v>
      </x:c>
      <x:c r="B32" s="54" t="str">
        <x:v>Design weakness</x:v>
      </x:c>
      <x:c r="C32" s="54" t="str">
        <x:v>Delivery</x:v>
      </x:c>
      <x:c r="D32" s="54" t="str">
        <x:v>Coverage-gap promise lacks costed noncooperating-state route; Oregon cannot validate it</x:v>
      </x:c>
      <x:c r="E32" s="54" t="str">
        <x:v>CMS policy/counsel; Espen for instrument choice</x:v>
      </x:c>
      <x:c r="F32" s="54" t="str">
        <x:v>Before national readiness claim</x:v>
      </x:c>
      <x:c r="G32" s="54" t="str">
        <x:v>Open</x:v>
      </x:c>
      <x:c r="H32" s="75" t="str"/>
      <x:c r="I32" s="75" t="str"/>
    </x:row>
    <x:row r="33" ht="95" customHeight="1">
      <x:c r="A33" s="54" t="str">
        <x:v>Q09</x:v>
      </x:c>
      <x:c r="B33" s="54" t="str">
        <x:v>Missing analysis</x:v>
      </x:c>
      <x:c r="C33" s="54" t="str">
        <x:v>Measurement</x:v>
      </x:c>
      <x:c r="D33" s="54" t="str">
        <x:v>Reliable post-August-2026 phone baseline and denial/correction sample</x:v>
      </x:c>
      <x:c r="E33" s="54" t="str">
        <x:v>State data and independent evaluator</x:v>
      </x:c>
      <x:c r="F33" s="54" t="str">
        <x:v>Before service target and launch review</x:v>
      </x:c>
      <x:c r="G33" s="54" t="str">
        <x:v>Open</x:v>
      </x:c>
      <x:c r="H33" s="75" t="str"/>
      <x:c r="I33" s="75" t="str"/>
    </x:row>
    <x:row r="34" ht="95" customHeight="1">
      <x:c r="A34" s="54" t="str">
        <x:v>Q10</x:v>
      </x:c>
      <x:c r="B34" s="54" t="str">
        <x:v>Missing analysis</x:v>
      </x:c>
      <x:c r="C34" s="54" t="str">
        <x:v>FY2029 cash</x:v>
      </x:c>
      <x:c r="D34" s="54" t="str">
        <x:v>Quarterly obligations, invoices, federal draws and state cash; continuing commitments</x:v>
      </x:c>
      <x:c r="E34" s="54" t="str">
        <x:v>Federal/state budget execution specialists</x:v>
      </x:c>
      <x:c r="F34" s="54" t="str">
        <x:v>Before accelerated-path D4 conclusion</x:v>
      </x:c>
      <x:c r="G34" s="54" t="str">
        <x:v>Open</x:v>
      </x:c>
      <x:c r="H34" s="75" t="str"/>
      <x:c r="I34" s="75" t="str"/>
    </x:row>
    <x:row r="35" ht="95" customHeight="1">
      <x:c r="A35" s="54" t="str">
        <x:v>Q11</x:v>
      </x:c>
      <x:c r="B35" s="54" t="str">
        <x:v>Decision for Espen</x:v>
      </x:c>
      <x:c r="C35" s="54" t="str">
        <x:v>Planning</x:v>
      </x:c>
      <x:c r="D35" s="54" t="str">
        <x:v>Develop A1 estimate with A2 fallback; preserve A3 comparison</x:v>
      </x:c>
      <x:c r="E35" s="54" t="str">
        <x:v>Espen</x:v>
      </x:c>
      <x:c r="F35" s="54" t="str">
        <x:v>After initial system/APD inventory</x:v>
      </x:c>
      <x:c r="G35" s="54" t="str">
        <x:v>Proposed</x:v>
      </x:c>
      <x:c r="H35" s="75" t="str"/>
      <x:c r="I35" s="75" t="str"/>
    </x:row>
    <x:row r="36" ht="95" customHeight="1">
      <x:c r="A36" s="54" t="str">
        <x:v>Q12</x:v>
      </x:c>
      <x:c r="B36" s="54" t="str">
        <x:v>Decision for Espen</x:v>
      </x:c>
      <x:c r="C36" s="54" t="str">
        <x:v>Correction design</x:v>
      </x:c>
      <x:c r="D36" s="54" t="str">
        <x:v>Develop public response duty and independent evaluation/remedy option</x:v>
      </x:c>
      <x:c r="E36" s="54" t="str">
        <x:v>Espen with counsel and affected people</x:v>
      </x:c>
      <x:c r="F36" s="54" t="str">
        <x:v>Before public/operational specification</x:v>
      </x:c>
      <x:c r="G36" s="54" t="str">
        <x:v>Proposed</x:v>
      </x:c>
      <x:c r="H36" s="75" t="str"/>
      <x:c r="I36" s="75" t="str"/>
    </x:row>
    <x:row r="39" ht="28" customHeight="1">
      <x:c r="A39" s="44" t="str">
        <x:v>Candidate outcome and correction record; no numerical targets adopted</x:v>
      </x:c>
      <x:c r="B39" s="44"/>
      <x:c r="C39" s="44"/>
      <x:c r="D39" s="44"/>
      <x:c r="E39" s="44"/>
      <x:c r="F39" s="44"/>
      <x:c r="G39" s="44"/>
      <x:c r="H39" s="44"/>
    </x:row>
    <x:row r="40" ht="50" customHeight="1">
      <x:c r="A40" s="47" t="str">
        <x:v>Measure ID</x:v>
      </x:c>
      <x:c r="B40" s="47" t="str">
        <x:v>Outcome</x:v>
      </x:c>
      <x:c r="C40" s="47" t="str">
        <x:v>Definition</x:v>
      </x:c>
      <x:c r="D40" s="47" t="str">
        <x:v>Baseline status</x:v>
      </x:c>
      <x:c r="E40" s="47" t="str">
        <x:v>Proposed collection</x:v>
      </x:c>
      <x:c r="F40" s="47" t="str">
        <x:v>Distribution / guardrail</x:v>
      </x:c>
      <x:c r="G40" s="47" t="str">
        <x:v>Correction mechanism</x:v>
      </x:c>
      <x:c r="H40" s="47" t="str">
        <x:v>Status / limit</x:v>
      </x:c>
    </x:row>
    <x:row r="41" ht="110" customHeight="1">
      <x:c r="A41" s="54" t="str">
        <x:v>M01</x:v>
      </x:c>
      <x:c r="B41" s="54" t="str">
        <x:v>Continuous coverage</x:v>
      </x:c>
      <x:c r="C41" s="54" t="str">
        <x:v>Eligible restored members with no avoidable coverage gap / eligible restored members</x:v>
      </x:c>
      <x:c r="D41" s="54" t="str">
        <x:v>Baseline not established</x:v>
      </x:c>
      <x:c r="E41" s="54" t="str">
        <x:v>OEP/OHA and issuers, monthly by cohort</x:v>
      </x:c>
      <x:c r="F41" s="54" t="str">
        <x:v>Age, disability, language, rural/Tribal geography subject to privacy</x:v>
      </x:c>
      <x:c r="G41" s="54" t="str">
        <x:v>Investigate every sampled erroneous termination; restore/reprocess under lawful authority</x:v>
      </x:c>
      <x:c r="H41" s="54" t="str">
        <x:v>Proposal; care access measured separately</x:v>
      </x:c>
    </x:row>
    <x:row r="42" ht="110" customHeight="1">
      <x:c r="A42" s="54" t="str">
        <x:v>M02</x:v>
      </x:c>
      <x:c r="B42" s="54" t="str">
        <x:v>Correct eligibility decisions</x:v>
      </x:c>
      <x:c r="C42" s="54" t="str">
        <x:v>Independently reviewed approvals AND denials correct / sampled decisions</x:v>
      </x:c>
      <x:c r="D42" s="54" t="str">
        <x:v>Local error baseline missing</x:v>
      </x:c>
      <x:c r="E42" s="54" t="str">
        <x:v>Independent sample; CMS/OEP monthly during conversion</x:v>
      </x:c>
      <x:c r="F42" s="54" t="str">
        <x:v>Program/cohort and assisted versus digital path</x:v>
      </x:c>
      <x:c r="G42" s="54" t="str">
        <x:v>Remediate rule/data/training defect; publish cohort correction count</x:v>
      </x:c>
      <x:c r="H42" s="54" t="str">
        <x:v>Do not use improper payments as fraud rate</x:v>
      </x:c>
    </x:row>
    <x:row r="43" ht="110" customHeight="1">
      <x:c r="A43" s="54" t="str">
        <x:v>M03</x:v>
      </x:c>
      <x:c r="B43" s="54" t="str">
        <x:v>Decision time and backlog</x:v>
      </x:c>
      <x:c r="C43" s="54" t="str">
        <x:v>Median / upper-tail calendar days, overdue cases and appeals</x:v>
      </x:c>
      <x:c r="D43" s="54" t="str">
        <x:v>Need age distribution, not only cases closed</x:v>
      </x:c>
      <x:c r="E43" s="54" t="str">
        <x:v>OEP workflow data</x:v>
      </x:c>
      <x:c r="F43" s="54" t="str">
        <x:v>Disability and complex cases included; no queue suppression</x:v>
      </x:c>
      <x:c r="G43" s="54" t="str">
        <x:v>Add targeted help/backfill or fix bottleneck while preserving rights</x:v>
      </x:c>
      <x:c r="H43" s="54" t="str">
        <x:v>No approval-speed gain accepted by excluding hard cases</x:v>
      </x:c>
    </x:row>
    <x:row r="44" ht="110" customHeight="1">
      <x:c r="A44" s="54" t="str">
        <x:v>M04</x:v>
      </x:c>
      <x:c r="B44" s="54" t="str">
        <x:v>Assisted-service access</x:v>
      </x:c>
      <x:c r="C44" s="54" t="str">
        <x:v>Wait, abandonment, successful assisted applications and repeat contacts</x:v>
      </x:c>
      <x:c r="D44" s="54" t="str">
        <x:v>Post-2026-08-24 telephone metrics unreliable</x:v>
      </x:c>
      <x:c r="E44" s="54" t="str">
        <x:v>Repair telephony data; reconcile queue definitions</x:v>
      </x:c>
      <x:c r="F44" s="54" t="str">
        <x:v>Language, disability and channel</x:v>
      </x:c>
      <x:c r="G44" s="54" t="str">
        <x:v>Publish missingness; validated replacement series before target</x:v>
      </x:c>
      <x:c r="H44" s="54" t="str">
        <x:v>E09 limitation is not zero delay</x:v>
      </x:c>
    </x:row>
    <x:row r="45" ht="110" customHeight="1">
      <x:c r="A45" s="54" t="str">
        <x:v>M05</x:v>
      </x:c>
      <x:c r="B45" s="54" t="str">
        <x:v>Correction and remedy</x:v>
      </x:c>
      <x:c r="C45" s="54" t="str">
        <x:v>Days to human correction/hearing; coverage days lost; cases restored</x:v>
      </x:c>
      <x:c r="D45" s="54" t="str">
        <x:v>Baseline not established</x:v>
      </x:c>
      <x:c r="E45" s="54" t="str">
        <x:v>Appeal/correction log, independent review</x:v>
      </x:c>
      <x:c r="F45" s="54" t="str">
        <x:v>Include people who never completed digital workflow</x:v>
      </x:c>
      <x:c r="G45" s="54" t="str">
        <x:v>Named response duty and time-bound correction plan proposed</x:v>
      </x:c>
      <x:c r="H45" s="54" t="str">
        <x:v>Existing 431.230 protections conditional; broaden only by lawful design</x:v>
      </x:c>
    </x:row>
    <x:row r="46" ht="110" customHeight="1">
      <x:c r="A46" s="54" t="str">
        <x:v>M06</x:v>
      </x:c>
      <x:c r="B46" s="54" t="str">
        <x:v>Financial protection and care</x:v>
      </x:c>
      <x:c r="C46" s="54" t="str">
        <x:v>Premium burden, unpaid bills, foregone care and unmet need</x:v>
      </x:c>
      <x:c r="D46" s="54" t="str">
        <x:v>Pilot has no causal household/access estimate</x:v>
      </x:c>
      <x:c r="E46" s="54" t="str">
        <x:v>Member surveys plus claims/issuer data with consent/authority</x:v>
      </x:c>
      <x:c r="F46" s="54" t="str">
        <x:v>Income and groups excluded from coverage</x:v>
      </x:c>
      <x:c r="G46" s="54" t="str">
        <x:v>Investigate coverage-without-access and remaining costs</x:v>
      </x:c>
      <x:c r="H46" s="54" t="str">
        <x:v>Coverage is intermediate; no wellbeing effect size claimed</x:v>
      </x:c>
    </x:row>
    <x:row r="47" ht="110" customHeight="1">
      <x:c r="A47" s="54" t="str">
        <x:v>M07</x:v>
      </x:c>
      <x:c r="B47" s="54" t="str">
        <x:v>Staff and service sustainability</x:v>
      </x:c>
      <x:c r="C47" s="54" t="str">
        <x:v>Overtime, turnover, training completion and rework</x:v>
      </x:c>
      <x:c r="D47" s="54" t="str">
        <x:v>2025 overtime approximate; FY2029 staffing unknown</x:v>
      </x:c>
      <x:c r="E47" s="54" t="str">
        <x:v>Workforce/time study and release data</x:v>
      </x:c>
      <x:c r="F47" s="54" t="str">
        <x:v>State/federal/contractor measures kept distinct</x:v>
      </x:c>
      <x:c r="G47" s="54" t="str">
        <x:v>Correct staffing or process before chronic overtime becomes plan</x:v>
      </x:c>
      <x:c r="H47" s="54" t="str">
        <x:v>No staff floor or budget increase inferred</x:v>
      </x:c>
    </x:row>
    <x:row r="48" ht="110" customHeight="1">
      <x:c r="A48" s="54" t="str">
        <x:v>M08</x:v>
      </x:c>
      <x:c r="B48" s="54" t="str">
        <x:v>Public influence and learning</x:v>
      </x:c>
      <x:c r="C48" s="54" t="str">
        <x:v>Who reports problems; published response; changes made; unresolved dissent</x:v>
      </x:c>
      <x:c r="D48" s="54" t="str">
        <x:v>No consultation conducted</x:v>
      </x:c>
      <x:c r="E48" s="54" t="str">
        <x:v>Compensated accessible beneficiary/staff feedback proposed</x:v>
      </x:c>
      <x:c r="F48" s="54" t="str">
        <x:v>Include non-users, unsuccessful applicants and Tribal partners</x:v>
      </x:c>
      <x:c r="G48" s="54" t="str">
        <x:v>Independent publication and accountable response; preserve oversight for concealment</x:v>
      </x:c>
      <x:c r="H48" s="54" t="str">
        <x:v>Proposed design; service speed does not prove public trust</x:v>
      </x:c>
    </x:row>
  </x:sheetData>
  <x:dataValidations count="1">
    <x:dataValidation type="list" sqref="G25:G36">
      <x:formula1>"Open,In review,Resolved with evidence,Proposed,Espen approved"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63dd50008b451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" hidden="0" customWidth="1"/>
    <x:col min="2" max="2" width="22" hidden="0" customWidth="1"/>
    <x:col min="3" max="3" width="32" hidden="0" customWidth="1"/>
    <x:col min="4" max="4" width="45" hidden="0" customWidth="1"/>
    <x:col min="5" max="5" width="25" hidden="0" customWidth="1"/>
    <x:col min="6" max="6" width="62" hidden="0" customWidth="1"/>
    <x:col min="7" max="7" width="33" hidden="0" customWidth="1"/>
    <x:col min="8" max="8" width="38" hidden="0" customWidth="1"/>
    <x:col min="9" max="9" width="65" hidden="0" customWidth="1"/>
    <x:col min="10" max="10" width="38" hidden="0" customWidth="1"/>
    <x:col min="11" max="11" width="6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Workforce contracts and systems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40" customHeight="1">
      <x:c r="A5" s="7" t="str">
        <x:v>Resource ID</x:v>
      </x:c>
      <x:c r="B5" s="7" t="str">
        <x:v>Program ID</x:v>
      </x:c>
      <x:c r="C5" s="7" t="str">
        <x:v>Work package</x:v>
      </x:c>
      <x:c r="D5" s="7" t="str">
        <x:v>Resource</x:v>
      </x:c>
      <x:c r="E5" s="7" t="str">
        <x:v>Measure type</x:v>
      </x:c>
      <x:c r="F5" s="7" t="str">
        <x:v>Observation / capability</x:v>
      </x:c>
      <x:c r="G5" s="7" t="str">
        <x:v>Evidence / observation IDs</x:v>
      </x:c>
      <x:c r="H5" s="7" t="str">
        <x:v>Reuse status</x:v>
      </x:c>
      <x:c r="I5" s="7" t="str">
        <x:v>Missing evidence / restriction</x:v>
      </x:c>
      <x:c r="J5" s="7" t="str">
        <x:v>Proposed review owner</x:v>
      </x:c>
      <x:c r="K5" s="7" t="str">
        <x:v>Cost / boundary implication</x:v>
      </x:c>
    </x:row>
    <x:row r="6" ht="72" customHeight="1">
      <x:c r="A6" s="10" t="str">
        <x:v>R01</x:v>
      </x:c>
      <x:c r="B6" s="10" t="str">
        <x:v>PR-OR-OEP</x:v>
      </x:c>
      <x:c r="C6" s="10" t="str">
        <x:v>CMS-IMP-02</x:v>
      </x:c>
      <x:c r="D6" s="10" t="str">
        <x:v>ONE eligibility platform</x:v>
      </x:c>
      <x:c r="E6" s="10" t="str">
        <x:v>System</x:v>
      </x:c>
      <x:c r="F6" s="10" t="str">
        <x:v>Production platform with multi-program workflow</x:v>
      </x:c>
      <x:c r="G6" s="10" t="str">
        <x:v>S06;S07;E06;E08</x:v>
      </x:c>
      <x:c r="H6" s="10" t="str">
        <x:v>Proposed modification / reuse</x:v>
      </x:c>
      <x:c r="I6" s="10" t="str">
        <x:v>Need release inventory, performance and funded work orders; amount available UNKNOWN</x:v>
      </x:c>
      <x:c r="J6" s="10" t="str">
        <x:v>OEP/OHA system owner</x:v>
      </x:c>
      <x:c r="K6" s="10" t="str">
        <x:v>Incremental rules, notices, regressions and parallel operation not priced</x:v>
      </x:c>
    </x:row>
    <x:row r="7" ht="72" customHeight="1">
      <x:c r="A7" s="9" t="str">
        <x:v>R02</x:v>
      </x:c>
      <x:c r="B7" s="9" t="str">
        <x:v>PR-FED-DATA</x:v>
      </x:c>
      <x:c r="C7" s="9" t="str">
        <x:v>CMS-IMP-13</x:v>
      </x:c>
      <x:c r="D7" s="9" t="str">
        <x:v>Data Services Hub and enterprise identity</x:v>
      </x:c>
      <x:c r="E7" s="9" t="str">
        <x:v>Shared federal system</x:v>
      </x:c>
      <x:c r="F7" s="9" t="str">
        <x:v>CMS describes verification for state Medicaid and state/federal exchanges</x:v>
      </x:c>
      <x:c r="G7" s="9" t="str">
        <x:v>F21;F32;E02 pp.113–114</x:v>
      </x:c>
      <x:c r="H7" s="9" t="str">
        <x:v>Proposed reuse</x:v>
      </x:c>
      <x:c r="I7" s="9" t="str">
        <x:v>Need service limits, interface control, partner agreements and marginal usage cost</x:v>
      </x:c>
      <x:c r="J7" s="9" t="str">
        <x:v>CMS shared-service owner</x:v>
      </x:c>
      <x:c r="K7" s="9" t="str">
        <x:v>Own common build/hosting in CMS-IMP-13; allocate use, do not add full portfolio to each policy</x:v>
      </x:c>
    </x:row>
    <x:row r="8" ht="72" customHeight="1">
      <x:c r="A8" s="10" t="str">
        <x:v>R03</x:v>
      </x:c>
      <x:c r="B8" s="10" t="str">
        <x:v>PR-OR-OEP</x:v>
      </x:c>
      <x:c r="C8" s="10" t="str">
        <x:v>CMS-IMP-02</x:v>
      </x:c>
      <x:c r="D8" s="10" t="str">
        <x:v>Central systems team</x:v>
      </x:c>
      <x:c r="E8" s="10" t="str">
        <x:v>Positions</x:v>
      </x:c>
      <x:c r="F8" s="10" t="str">
        <x:v>108 positions; February 2026, not filled FTE</x:v>
      </x:c>
      <x:c r="G8" s="10" t="str">
        <x:v>S46;E06 slide12</x:v>
      </x:c>
      <x:c r="H8" s="10" t="str">
        <x:v>Documented function; availability unknown</x:v>
      </x:c>
      <x:c r="I8" s="10" t="str">
        <x:v>Need funded/filled/vacant positions, occupational skills and allocation by task</x:v>
      </x:c>
      <x:c r="J8" s="10" t="str">
        <x:v>OEP workforce and delivery lead</x:v>
      </x:c>
      <x:c r="K8" s="10" t="str">
        <x:v>Testing, defect triage, reporting and help desk compete with other releases</x:v>
      </x:c>
    </x:row>
    <x:row r="9" ht="72" customHeight="1">
      <x:c r="A9" s="9" t="str">
        <x:v>R04</x:v>
      </x:c>
      <x:c r="B9" s="9" t="str">
        <x:v>PR-OR-OEP</x:v>
      </x:c>
      <x:c r="C9" s="9" t="str">
        <x:v>CMS-IMP-02</x:v>
      </x:c>
      <x:c r="D9" s="9" t="str">
        <x:v>Eligibility training function</x:v>
      </x:c>
      <x:c r="E9" s="9" t="str">
        <x:v>Positions</x:v>
      </x:c>
      <x:c r="F9" s="9" t="str">
        <x:v>56 positions: 36 budgeted + 20 non-budgeted</x:v>
      </x:c>
      <x:c r="G9" s="9" t="str">
        <x:v>S47;S49;S50</x:v>
      </x:c>
      <x:c r="H9" s="9" t="str">
        <x:v>Proposed reuse with backfill analysis</x:v>
      </x:c>
      <x:c r="I9" s="9" t="str">
        <x:v>No funded restoration training time or FY2029 retention evidence</x:v>
      </x:c>
      <x:c r="J9" s="9" t="str">
        <x:v>OEP training owner</x:v>
      </x:c>
      <x:c r="K9" s="9" t="str">
        <x:v>Training hours, staff release/backfill and translation all need price basis</x:v>
      </x:c>
    </x:row>
    <x:row r="10" ht="72" customHeight="1">
      <x:c r="A10" s="10" t="str">
        <x:v>R05</x:v>
      </x:c>
      <x:c r="B10" s="10" t="str">
        <x:v>PR-OR-OEP</x:v>
      </x:c>
      <x:c r="C10" s="10" t="str">
        <x:v>CMS-IMP-02</x:v>
      </x:c>
      <x:c r="D10" s="10" t="str">
        <x:v>Fair hearings function</x:v>
      </x:c>
      <x:c r="E10" s="10" t="str">
        <x:v>Positions</x:v>
      </x:c>
      <x:c r="F10" s="10" t="str">
        <x:v>22 positions across benefits, February 2026</x:v>
      </x:c>
      <x:c r="G10" s="10" t="str">
        <x:v>S48</x:v>
      </x:c>
      <x:c r="H10" s="10" t="str">
        <x:v>Existing service; expansion unpriced</x:v>
      </x:c>
      <x:c r="I10" s="10" t="str">
        <x:v>Need pending cases, hearing volume, handling time and current allocations</x:v>
      </x:c>
      <x:c r="J10" s="10" t="str">
        <x:v>OEP hearings lead / legal review</x:v>
      </x:c>
      <x:c r="K10" s="10" t="str">
        <x:v>Preserve statutory fair hearing duties and define transition correction path</x:v>
      </x:c>
    </x:row>
    <x:row r="11" ht="72" customHeight="1">
      <x:c r="A11" s="9" t="str">
        <x:v>R06</x:v>
      </x:c>
      <x:c r="B11" s="9" t="str">
        <x:v>PR-OR-OEP</x:v>
      </x:c>
      <x:c r="C11" s="9" t="str">
        <x:v>CMS-IMP-02</x:v>
      </x:c>
      <x:c r="D11" s="9" t="str">
        <x:v>Eligibility casework</x:v>
      </x:c>
      <x:c r="E11" s="9" t="str">
        <x:v>Workload</x:v>
      </x:c>
      <x:c r="F11" s="9" t="str">
        <x:v>2m tasks in 2025; overtime around 20,000 hours/month</x:v>
      </x:c>
      <x:c r="G11" s="9" t="str">
        <x:v>S39;S42;S43</x:v>
      </x:c>
      <x:c r="H11" s="9" t="str">
        <x:v>No surplus inferred</x:v>
      </x:c>
      <x:c r="I11" s="9" t="str">
        <x:v>Need medical-specific cases, minutes by task, attrition, training and nonproductive time</x:v>
      </x:c>
      <x:c r="J11" s="9" t="str">
        <x:v>OEP operations / workforce</x:v>
      </x:c>
      <x:c r="K11" s="9" t="str">
        <x:v>Work-rule repeal may reduce one activity but does not establish net staff release</x:v>
      </x:c>
    </x:row>
    <x:row r="12" ht="72" customHeight="1">
      <x:c r="A12" s="10" t="str">
        <x:v>R07</x:v>
      </x:c>
      <x:c r="B12" s="10" t="str">
        <x:v>PR-OR-MKT</x:v>
      </x:c>
      <x:c r="C12" s="10" t="str">
        <x:v>CMS-IMP-02</x:v>
      </x:c>
      <x:c r="D12" s="10" t="str">
        <x:v>Explore Health / ONE handoff</x:v>
      </x:c>
      <x:c r="E12" s="10" t="str">
        <x:v>System interface</x:v>
      </x:c>
      <x:c r="F12" s="10" t="str">
        <x:v>2027 state marketplace planned in September 2026 bulletin</x:v>
      </x:c>
      <x:c r="G12" s="10" t="str">
        <x:v>E08</x:v>
      </x:c>
      <x:c r="H12" s="10" t="str">
        <x:v>Future interface assumption</x:v>
      </x:c>
      <x:c r="I12" s="10" t="str">
        <x:v>Verify actual 2027 launch, 2029 topology, eligibility referrals and payment acknowledgment</x:v>
      </x:c>
      <x:c r="J12" s="10" t="str">
        <x:v>OHA marketplace / CMS</x:v>
      </x:c>
      <x:c r="K12" s="10" t="str">
        <x:v>Avoid building restoration on an assumed national HealthCare.gov interface in every state</x:v>
      </x:c>
    </x:row>
    <x:row r="13" ht="72" customHeight="1">
      <x:c r="A13" s="9" t="str">
        <x:v>R08</x:v>
      </x:c>
      <x:c r="B13" s="9" t="str">
        <x:v>PR-OR-OEP</x:v>
      </x:c>
      <x:c r="C13" s="9" t="str">
        <x:v>CMS-IMP-02</x:v>
      </x:c>
      <x:c r="D13" s="9" t="str">
        <x:v>Training redesign procurement</x:v>
      </x:c>
      <x:c r="E13" s="9" t="str">
        <x:v>Procurement notice</x:v>
      </x:c>
      <x:c r="F13" s="9" t="str">
        <x:v>S-10000-00017274; item 1; published June 2026</x:v>
      </x:c>
      <x:c r="G13" s="9" t="str">
        <x:v>E18</x:v>
      </x:c>
      <x:c r="H13" s="9" t="str">
        <x:v>Notice observed; contract unverified</x:v>
      </x:c>
      <x:c r="I13" s="9" t="str">
        <x:v>Executed award ID, vendor, term, NTE, orders, remaining hours and amendment rights UNKNOWN</x:v>
      </x:c>
      <x:c r="J13" s="9" t="str">
        <x:v>State acquisition owner</x:v>
      </x:c>
      <x:c r="K13" s="9" t="str">
        <x:v>No ceiling/unused-value offset; no assumption that 2026 scope covers 2029 restoration</x:v>
      </x:c>
    </x:row>
    <x:row r="14" ht="72" customHeight="1">
      <x:c r="A14" s="10" t="str">
        <x:v>R09</x:v>
      </x:c>
      <x:c r="B14" s="10" t="str">
        <x:v>PR-OR-OEP</x:v>
      </x:c>
      <x:c r="C14" s="10" t="str">
        <x:v>CMS-IMP-02</x:v>
      </x:c>
      <x:c r="D14" s="10" t="str">
        <x:v>Telephony / customer-service measurement</x:v>
      </x:c>
      <x:c r="E14" s="10" t="str">
        <x:v>System and data</x:v>
      </x:c>
      <x:c r="F14" s="10" t="str">
        <x:v>August 24, 2026 phone migration; public wait/answer metrics unreliable</x:v>
      </x:c>
      <x:c r="G14" s="10" t="str">
        <x:v>E09;S41</x:v>
      </x:c>
      <x:c r="H14" s="10" t="str">
        <x:v>Current measurement limitation</x:v>
      </x:c>
      <x:c r="I14" s="10" t="str">
        <x:v>Need validated post-migration series and reconciliation to historical queues</x:v>
      </x:c>
      <x:c r="J14" s="10" t="str">
        <x:v>OEP service-data owner</x:v>
      </x:c>
      <x:c r="K14" s="10" t="str">
        <x:v>Repair measurement before adopting current service baseline; do not import stale dashboard values</x:v>
      </x:c>
    </x:row>
    <x:row r="15" ht="72" customHeight="1">
      <x:c r="A15" s="9" t="str">
        <x:v>R10</x:v>
      </x:c>
      <x:c r="B15" s="9" t="str">
        <x:v>PR-FED-PM</x:v>
      </x:c>
      <x:c r="C15" s="9" t="str">
        <x:v>CMS-IMP-01;11;13</x:v>
      </x:c>
      <x:c r="D15" s="9" t="str">
        <x:v>Federal retained program/acquisition/security team</x:v>
      </x:c>
      <x:c r="E15" s="9" t="str">
        <x:v>FTE and contracted skills</x:v>
      </x:c>
      <x:c r="F15" s="9" t="str">
        <x:v>PM FTE totals and CMS IT are broad scope only</x:v>
      </x:c>
      <x:c r="G15" s="9" t="str">
        <x:v>F23;F24;F25;F21</x:v>
      </x:c>
      <x:c r="H15" s="9" t="str">
        <x:v>Required function; incremental quantity unknown</x:v>
      </x:c>
      <x:c r="I15" s="9" t="str">
        <x:v>Need task allocation, hiring authority, loaded rates, onboarding and contract oversight plan</x:v>
      </x:c>
      <x:c r="J15" s="9" t="str">
        <x:v>CMS delivery and acquisition leads</x:v>
      </x:c>
      <x:c r="K15" s="9" t="str">
        <x:v>Do not translate agency FTE totals or contractor dollars into free HLT capacity</x:v>
      </x:c>
    </x:row>
  </x:sheetData>
  <x:pageMargins left="0.7" right="0.7" top="0.75" bottom="0.75" header="0.3" footer="0.3"/>
  <x:tableParts count="1">
    <x:tablePart xmlns:r="http://schemas.openxmlformats.org/officeDocument/2006/relationships" r:id="Rae82bd9784454d2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21" hidden="0" customWidth="1"/>
    <x:col min="3" max="3" width="42" hidden="0" customWidth="1"/>
    <x:col min="4" max="4" width="19" hidden="0" customWidth="1"/>
    <x:col min="5" max="5" width="20" hidden="0" customWidth="1"/>
    <x:col min="6" max="6" width="16" hidden="0" customWidth="1"/>
    <x:col min="7" max="7" width="21" hidden="0" customWidth="1"/>
    <x:col min="8" max="8" width="26" hidden="0" customWidth="1"/>
    <x:col min="9" max="9" width="26" hidden="0" customWidth="1"/>
    <x:col min="10" max="10" width="28" hidden="0" customWidth="1"/>
    <x:col min="11" max="11" width="31" hidden="0" customWidth="1"/>
    <x:col min="12" max="12" width="56" hidden="0" customWidth="1"/>
    <x:col min="13" max="13" width="30" hidden="0" customWidth="1"/>
    <x:col min="14" max="14" width="23" hidden="0" customWidth="1"/>
    <x:col min="15" max="15" width="14" hidden="0" customWidth="1"/>
    <x:col min="16" max="16" width="42" hidden="0" customWidth="1"/>
    <x:col min="17" max="17" width="6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Source observations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1" t="str">
        <x:v>Original values preserved. USD equivalent converts units only. Groups, parents and fiscal periods must be checked before adding.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40" customHeight="1">
      <x:c r="A5" s="7" t="str">
        <x:v>Observation ID</x:v>
      </x:c>
      <x:c r="B5" s="7" t="str">
        <x:v>Program ID</x:v>
      </x:c>
      <x:c r="C5" s="7" t="str">
        <x:v>Published item</x:v>
      </x:c>
      <x:c r="D5" s="7" t="str">
        <x:v>Original value</x:v>
      </x:c>
      <x:c r="E5" s="7" t="str">
        <x:v>Original unit</x:v>
      </x:c>
      <x:c r="F5" s="7" t="str">
        <x:v>USD multiplier</x:v>
      </x:c>
      <x:c r="G5" s="7" t="str">
        <x:v>USD equivalent</x:v>
      </x:c>
      <x:c r="H5" s="7" t="str">
        <x:v>Fiscal/reporting period</x:v>
      </x:c>
      <x:c r="I5" s="7" t="str">
        <x:v>Source vintage</x:v>
      </x:c>
      <x:c r="J5" s="7" t="str">
        <x:v>Status</x:v>
      </x:c>
      <x:c r="K5" s="7" t="str">
        <x:v>Measure</x:v>
      </x:c>
      <x:c r="L5" s="7" t="str">
        <x:v>Scope / restriction</x:v>
      </x:c>
      <x:c r="M5" s="7" t="str">
        <x:v>Additivity group</x:v>
      </x:c>
      <x:c r="N5" s="7" t="str">
        <x:v>Parent / non-add link</x:v>
      </x:c>
      <x:c r="O5" s="7" t="str">
        <x:v>Evidence ID</x:v>
      </x:c>
      <x:c r="P5" s="7" t="str">
        <x:v>Source location</x:v>
      </x:c>
      <x:c r="Q5" s="7" t="str">
        <x:v>Source URL</x:v>
      </x:c>
    </x:row>
    <x:row r="6" ht="72" customHeight="1">
      <x:c r="A6" s="10" t="str">
        <x:v>F01</x:v>
      </x:c>
      <x:c r="B6" s="10" t="str">
        <x:v>PR-FED-PM</x:v>
      </x:c>
      <x:c r="C6" s="10" t="str">
        <x:v>Program Management lump sum</x:v>
      </x:c>
      <x:c r="D6" s="13" t="n">
        <x:v>3669.744</x:v>
      </x:c>
      <x:c r="E6" s="11" t="str">
        <x:v>USD million</x:v>
      </x:c>
      <x:c r="F6" s="11" t="n">
        <x:v>1000000</x:v>
      </x:c>
      <x:c r="G6" s="15" t="n">
        <x:f>D6*F6</x:f>
        <x:v>3669744000</x:v>
      </x:c>
      <x:c r="H6" s="10" t="str">
        <x:v>FFY2026</x:v>
      </x:c>
      <x:c r="I6" s="10" t="str">
        <x:v>FY2026 final plan</x:v>
      </x:c>
      <x:c r="J6" s="10" t="str">
        <x:v>Final operating plan</x:v>
      </x:c>
      <x:c r="K6" s="10" t="str">
        <x:v>Funding level; collections estimated</x:v>
      </x:c>
      <x:c r="L6" s="10" t="str">
        <x:v>National CMS; all programs</x:v>
      </x:c>
      <x:c r="M6" s="10" t="str">
        <x:v>CMS26-lump</x:v>
      </x:c>
      <x:c r="N6" s="10" t="str"/>
      <x:c r="O6" s="10" t="str">
        <x:v>E01</x:v>
      </x:c>
      <x:c r="P6" s="10" t="str">
        <x:v>One-page table; FY2026 column</x:v>
      </x:c>
      <x:c r="Q6" s="10" t="str">
        <x:v>https://www.cms.gov/files/document/fy-2026-program-management-operating-plan.pdf</x:v>
      </x:c>
    </x:row>
    <x:row r="7" ht="72" customHeight="1">
      <x:c r="A7" s="9" t="str">
        <x:v>F02</x:v>
      </x:c>
      <x:c r="B7" s="9" t="str">
        <x:v>PR-FED-PM</x:v>
      </x:c>
      <x:c r="C7" s="9" t="str">
        <x:v>Program Operations</x:v>
      </x:c>
      <x:c r="D7" s="14" t="n">
        <x:v>2479.823</x:v>
      </x:c>
      <x:c r="E7" s="12" t="str">
        <x:v>USD million</x:v>
      </x:c>
      <x:c r="F7" s="12" t="n">
        <x:v>1000000</x:v>
      </x:c>
      <x:c r="G7" s="16" t="n">
        <x:f>D7*F7</x:f>
        <x:v>2479823000</x:v>
      </x:c>
      <x:c r="H7" s="9" t="str">
        <x:v>FFY2026</x:v>
      </x:c>
      <x:c r="I7" s="9" t="str">
        <x:v>FY2026 final plan</x:v>
      </x:c>
      <x:c r="J7" s="9" t="str">
        <x:v>Final operating plan</x:v>
      </x:c>
      <x:c r="K7" s="9" t="str">
        <x:v>Funding level; collections estimated</x:v>
      </x:c>
      <x:c r="L7" s="9" t="str">
        <x:v>National CMS; all programs</x:v>
      </x:c>
      <x:c r="M7" s="9" t="str">
        <x:v>CMS26-lump-child</x:v>
      </x:c>
      <x:c r="N7" s="9" t="str">
        <x:v>F01</x:v>
      </x:c>
      <x:c r="O7" s="9" t="str">
        <x:v>E01</x:v>
      </x:c>
      <x:c r="P7" s="9" t="str">
        <x:v>One-page table; FY2026 column</x:v>
      </x:c>
      <x:c r="Q7" s="9" t="str">
        <x:v>https://www.cms.gov/files/document/fy-2026-program-management-operating-plan.pdf</x:v>
      </x:c>
    </x:row>
    <x:row r="8" ht="72" customHeight="1">
      <x:c r="A8" s="10" t="str">
        <x:v>F03</x:v>
      </x:c>
      <x:c r="B8" s="10" t="str">
        <x:v>PR-FED-PM</x:v>
      </x:c>
      <x:c r="C8" s="10" t="str">
        <x:v>Federal Administration</x:v>
      </x:c>
      <x:c r="D8" s="13" t="n">
        <x:v>772.533</x:v>
      </x:c>
      <x:c r="E8" s="11" t="str">
        <x:v>USD million</x:v>
      </x:c>
      <x:c r="F8" s="11" t="n">
        <x:v>1000000</x:v>
      </x:c>
      <x:c r="G8" s="15" t="n">
        <x:f>D8*F8</x:f>
        <x:v>772533000</x:v>
      </x:c>
      <x:c r="H8" s="10" t="str">
        <x:v>FFY2026</x:v>
      </x:c>
      <x:c r="I8" s="10" t="str">
        <x:v>FY2026 final plan</x:v>
      </x:c>
      <x:c r="J8" s="10" t="str">
        <x:v>Final operating plan</x:v>
      </x:c>
      <x:c r="K8" s="10" t="str">
        <x:v>Funding level; collections estimated</x:v>
      </x:c>
      <x:c r="L8" s="10" t="str">
        <x:v>National CMS; all programs</x:v>
      </x:c>
      <x:c r="M8" s="10" t="str">
        <x:v>CMS26-lump-child</x:v>
      </x:c>
      <x:c r="N8" s="10" t="str">
        <x:v>F01</x:v>
      </x:c>
      <x:c r="O8" s="10" t="str">
        <x:v>E01</x:v>
      </x:c>
      <x:c r="P8" s="10" t="str">
        <x:v>One-page table; FY2026 column</x:v>
      </x:c>
      <x:c r="Q8" s="10" t="str">
        <x:v>https://www.cms.gov/files/document/fy-2026-program-management-operating-plan.pdf</x:v>
      </x:c>
    </x:row>
    <x:row r="9" ht="72" customHeight="1">
      <x:c r="A9" s="9" t="str">
        <x:v>F04</x:v>
      </x:c>
      <x:c r="B9" s="9" t="str">
        <x:v>PR-FED-PM</x:v>
      </x:c>
      <x:c r="C9" s="9" t="str">
        <x:v>Research</x:v>
      </x:c>
      <x:c r="D9" s="14" t="n">
        <x:v>20.054</x:v>
      </x:c>
      <x:c r="E9" s="12" t="str">
        <x:v>USD million</x:v>
      </x:c>
      <x:c r="F9" s="12" t="n">
        <x:v>1000000</x:v>
      </x:c>
      <x:c r="G9" s="16" t="n">
        <x:f>D9*F9</x:f>
        <x:v>20054000</x:v>
      </x:c>
      <x:c r="H9" s="9" t="str">
        <x:v>FFY2026</x:v>
      </x:c>
      <x:c r="I9" s="9" t="str">
        <x:v>FY2026 final plan</x:v>
      </x:c>
      <x:c r="J9" s="9" t="str">
        <x:v>Final operating plan</x:v>
      </x:c>
      <x:c r="K9" s="9" t="str">
        <x:v>Funding level; collections estimated</x:v>
      </x:c>
      <x:c r="L9" s="9" t="str">
        <x:v>National CMS; all programs</x:v>
      </x:c>
      <x:c r="M9" s="9" t="str">
        <x:v>CMS26-lump-child</x:v>
      </x:c>
      <x:c r="N9" s="9" t="str">
        <x:v>F01</x:v>
      </x:c>
      <x:c r="O9" s="9" t="str">
        <x:v>E01</x:v>
      </x:c>
      <x:c r="P9" s="9" t="str">
        <x:v>One-page table; FY2026 column</x:v>
      </x:c>
      <x:c r="Q9" s="9" t="str">
        <x:v>https://www.cms.gov/files/document/fy-2026-program-management-operating-plan.pdf</x:v>
      </x:c>
    </x:row>
    <x:row r="10" ht="72" customHeight="1">
      <x:c r="A10" s="10" t="str">
        <x:v>F05</x:v>
      </x:c>
      <x:c r="B10" s="10" t="str">
        <x:v>PR-FED-PM</x:v>
      </x:c>
      <x:c r="C10" s="10" t="str">
        <x:v>State Survey &amp; Certification</x:v>
      </x:c>
      <x:c r="D10" s="13" t="n">
        <x:v>397.334</x:v>
      </x:c>
      <x:c r="E10" s="11" t="str">
        <x:v>USD million</x:v>
      </x:c>
      <x:c r="F10" s="11" t="n">
        <x:v>1000000</x:v>
      </x:c>
      <x:c r="G10" s="15" t="n">
        <x:f>D10*F10</x:f>
        <x:v>397334000</x:v>
      </x:c>
      <x:c r="H10" s="10" t="str">
        <x:v>FFY2026</x:v>
      </x:c>
      <x:c r="I10" s="10" t="str">
        <x:v>FY2026 final plan</x:v>
      </x:c>
      <x:c r="J10" s="10" t="str">
        <x:v>Final operating plan</x:v>
      </x:c>
      <x:c r="K10" s="10" t="str">
        <x:v>Funding level; collections estimated</x:v>
      </x:c>
      <x:c r="L10" s="10" t="str">
        <x:v>National CMS; all programs</x:v>
      </x:c>
      <x:c r="M10" s="10" t="str">
        <x:v>CMS26-lump-child</x:v>
      </x:c>
      <x:c r="N10" s="10" t="str">
        <x:v>F01</x:v>
      </x:c>
      <x:c r="O10" s="10" t="str">
        <x:v>E01</x:v>
      </x:c>
      <x:c r="P10" s="10" t="str">
        <x:v>One-page table; FY2026 column</x:v>
      </x:c>
      <x:c r="Q10" s="10" t="str">
        <x:v>https://www.cms.gov/files/document/fy-2026-program-management-operating-plan.pdf</x:v>
      </x:c>
    </x:row>
    <x:row r="11" ht="72" customHeight="1">
      <x:c r="A11" s="9" t="str">
        <x:v>F06</x:v>
      </x:c>
      <x:c r="B11" s="9" t="str">
        <x:v>PR-FED-PM</x:v>
      </x:c>
      <x:c r="C11" s="9" t="str">
        <x:v>Additional Medicare Operations GP</x:v>
      </x:c>
      <x:c r="D11" s="14" t="n">
        <x:v>455</x:v>
      </x:c>
      <x:c r="E11" s="12" t="str">
        <x:v>USD million</x:v>
      </x:c>
      <x:c r="F11" s="12" t="n">
        <x:v>1000000</x:v>
      </x:c>
      <x:c r="G11" s="16" t="n">
        <x:f>D11*F11</x:f>
        <x:v>455000000</x:v>
      </x:c>
      <x:c r="H11" s="9" t="str">
        <x:v>FFY2026</x:v>
      </x:c>
      <x:c r="I11" s="9" t="str">
        <x:v>FY2026 final plan</x:v>
      </x:c>
      <x:c r="J11" s="9" t="str">
        <x:v>Final operating plan</x:v>
      </x:c>
      <x:c r="K11" s="9" t="str">
        <x:v>Funding level; collections estimated</x:v>
      </x:c>
      <x:c r="L11" s="9" t="str">
        <x:v>National CMS; all programs</x:v>
      </x:c>
      <x:c r="M11" s="9" t="str">
        <x:v>CMS26-BA-add</x:v>
      </x:c>
      <x:c r="N11" s="9" t="str"/>
      <x:c r="O11" s="9" t="str">
        <x:v>E01</x:v>
      </x:c>
      <x:c r="P11" s="9" t="str">
        <x:v>One-page table; FY2026 column</x:v>
      </x:c>
      <x:c r="Q11" s="9" t="str">
        <x:v>https://www.cms.gov/files/document/fy-2026-program-management-operating-plan.pdf</x:v>
      </x:c>
    </x:row>
    <x:row r="12" ht="72" customHeight="1">
      <x:c r="A12" s="10" t="str">
        <x:v>F07</x:v>
      </x:c>
      <x:c r="B12" s="10" t="str">
        <x:v>PR-FED-PM</x:v>
      </x:c>
      <x:c r="C12" s="10" t="str">
        <x:v>Discretionary Budget Authority total</x:v>
      </x:c>
      <x:c r="D12" s="13" t="n">
        <x:v>4124.744</x:v>
      </x:c>
      <x:c r="E12" s="11" t="str">
        <x:v>USD million</x:v>
      </x:c>
      <x:c r="F12" s="11" t="n">
        <x:v>1000000</x:v>
      </x:c>
      <x:c r="G12" s="15" t="n">
        <x:f>D12*F12</x:f>
        <x:v>4124743999.9999995</x:v>
      </x:c>
      <x:c r="H12" s="10" t="str">
        <x:v>FFY2026</x:v>
      </x:c>
      <x:c r="I12" s="10" t="str">
        <x:v>FY2026 final plan</x:v>
      </x:c>
      <x:c r="J12" s="10" t="str">
        <x:v>Final operating plan</x:v>
      </x:c>
      <x:c r="K12" s="10" t="str">
        <x:v>Funding level; collections estimated</x:v>
      </x:c>
      <x:c r="L12" s="10" t="str">
        <x:v>National CMS; all programs</x:v>
      </x:c>
      <x:c r="M12" s="10" t="str">
        <x:v>CMS26-BA-control</x:v>
      </x:c>
      <x:c r="N12" s="10" t="str"/>
      <x:c r="O12" s="10" t="str">
        <x:v>E01</x:v>
      </x:c>
      <x:c r="P12" s="10" t="str">
        <x:v>One-page table; FY2026 column</x:v>
      </x:c>
      <x:c r="Q12" s="10" t="str">
        <x:v>https://www.cms.gov/files/document/fy-2026-program-management-operating-plan.pdf</x:v>
      </x:c>
    </x:row>
    <x:row r="13" ht="72" customHeight="1">
      <x:c r="A13" s="9" t="str">
        <x:v>F08</x:v>
      </x:c>
      <x:c r="B13" s="9" t="str">
        <x:v>PR-FED-PM</x:v>
      </x:c>
      <x:c r="C13" s="9" t="str">
        <x:v>Offsetting collections total</x:v>
      </x:c>
      <x:c r="D13" s="14" t="n">
        <x:v>3251.326</x:v>
      </x:c>
      <x:c r="E13" s="12" t="str">
        <x:v>USD million</x:v>
      </x:c>
      <x:c r="F13" s="12" t="n">
        <x:v>1000000</x:v>
      </x:c>
      <x:c r="G13" s="16" t="n">
        <x:f>D13*F13</x:f>
        <x:v>3251326000</x:v>
      </x:c>
      <x:c r="H13" s="9" t="str">
        <x:v>FFY2026</x:v>
      </x:c>
      <x:c r="I13" s="9" t="str">
        <x:v>FY2026 final plan</x:v>
      </x:c>
      <x:c r="J13" s="9" t="str">
        <x:v>Final operating plan</x:v>
      </x:c>
      <x:c r="K13" s="9" t="str">
        <x:v>Funding level; collections estimated</x:v>
      </x:c>
      <x:c r="L13" s="9" t="str">
        <x:v>National CMS; all programs</x:v>
      </x:c>
      <x:c r="M13" s="9" t="str">
        <x:v>CMS26-collections-control</x:v>
      </x:c>
      <x:c r="N13" s="9" t="str"/>
      <x:c r="O13" s="9" t="str">
        <x:v>E01</x:v>
      </x:c>
      <x:c r="P13" s="9" t="str">
        <x:v>One-page table; FY2026 column</x:v>
      </x:c>
      <x:c r="Q13" s="9" t="str">
        <x:v>https://www.cms.gov/files/document/fy-2026-program-management-operating-plan.pdf</x:v>
      </x:c>
    </x:row>
    <x:row r="14" ht="72" customHeight="1">
      <x:c r="A14" s="10" t="str">
        <x:v>F09</x:v>
      </x:c>
      <x:c r="B14" s="10" t="str">
        <x:v>PR-FED-PM</x:v>
      </x:c>
      <x:c r="C14" s="10" t="str">
        <x:v>Program level total</x:v>
      </x:c>
      <x:c r="D14" s="13" t="n">
        <x:v>7376.07</x:v>
      </x:c>
      <x:c r="E14" s="11" t="str">
        <x:v>USD million</x:v>
      </x:c>
      <x:c r="F14" s="11" t="n">
        <x:v>1000000</x:v>
      </x:c>
      <x:c r="G14" s="15" t="n">
        <x:f>D14*F14</x:f>
        <x:v>7376070000</x:v>
      </x:c>
      <x:c r="H14" s="10" t="str">
        <x:v>FFY2026</x:v>
      </x:c>
      <x:c r="I14" s="10" t="str">
        <x:v>FY2026 final plan</x:v>
      </x:c>
      <x:c r="J14" s="10" t="str">
        <x:v>Final operating plan</x:v>
      </x:c>
      <x:c r="K14" s="10" t="str">
        <x:v>Funding level; collections estimated</x:v>
      </x:c>
      <x:c r="L14" s="10" t="str">
        <x:v>National CMS; all programs</x:v>
      </x:c>
      <x:c r="M14" s="10" t="str">
        <x:v>CMS26-total-control</x:v>
      </x:c>
      <x:c r="N14" s="10" t="str"/>
      <x:c r="O14" s="10" t="str">
        <x:v>E01</x:v>
      </x:c>
      <x:c r="P14" s="10" t="str">
        <x:v>One-page table; FY2026 column</x:v>
      </x:c>
      <x:c r="Q14" s="10" t="str">
        <x:v>https://www.cms.gov/files/document/fy-2026-program-management-operating-plan.pdf</x:v>
      </x:c>
    </x:row>
    <x:row r="15" ht="72" customHeight="1">
      <x:c r="A15" s="9" t="str">
        <x:v>F10</x:v>
      </x:c>
      <x:c r="B15" s="9" t="str">
        <x:v>PR-FED-PM</x:v>
      </x:c>
      <x:c r="C15" s="9" t="str">
        <x:v>Recovery Audit Contracts (non-add)</x:v>
      </x:c>
      <x:c r="D15" s="14" t="n">
        <x:v>243.9</x:v>
      </x:c>
      <x:c r="E15" s="12" t="str">
        <x:v>USD million</x:v>
      </x:c>
      <x:c r="F15" s="12" t="n">
        <x:v>1000000</x:v>
      </x:c>
      <x:c r="G15" s="16" t="n">
        <x:f>D15*F15</x:f>
        <x:v>243900000</x:v>
      </x:c>
      <x:c r="H15" s="9" t="str">
        <x:v>FFY2026</x:v>
      </x:c>
      <x:c r="I15" s="9" t="str">
        <x:v>FY2026 final plan</x:v>
      </x:c>
      <x:c r="J15" s="9" t="str">
        <x:v>Final operating plan</x:v>
      </x:c>
      <x:c r="K15" s="9" t="str">
        <x:v>Funding level; collections estimated</x:v>
      </x:c>
      <x:c r="L15" s="9" t="str">
        <x:v>National CMS; all programs</x:v>
      </x:c>
      <x:c r="M15" s="9" t="str">
        <x:v>CMS26-non-add</x:v>
      </x:c>
      <x:c r="N15" s="9" t="str">
        <x:v>F09</x:v>
      </x:c>
      <x:c r="O15" s="9" t="str">
        <x:v>E01</x:v>
      </x:c>
      <x:c r="P15" s="9" t="str">
        <x:v>One-page table; FY2026 column</x:v>
      </x:c>
      <x:c r="Q15" s="9" t="str">
        <x:v>https://www.cms.gov/files/document/fy-2026-program-management-operating-plan.pdf</x:v>
      </x:c>
    </x:row>
    <x:row r="16" ht="72" customHeight="1">
      <x:c r="A16" s="10" t="str">
        <x:v>F11</x:v>
      </x:c>
      <x:c r="B16" s="10" t="str">
        <x:v>PR-FED-PM</x:v>
      </x:c>
      <x:c r="C16" s="10" t="str">
        <x:v>Exchanges</x:v>
      </x:c>
      <x:c r="D16" s="13" t="n">
        <x:v>2266.439</x:v>
      </x:c>
      <x:c r="E16" s="11" t="str">
        <x:v>USD million</x:v>
      </x:c>
      <x:c r="F16" s="11" t="n">
        <x:v>1000000</x:v>
      </x:c>
      <x:c r="G16" s="15" t="n">
        <x:f>D16*F16</x:f>
        <x:v>2266439000</x:v>
      </x:c>
      <x:c r="H16" s="10" t="str">
        <x:v>FFY2026</x:v>
      </x:c>
      <x:c r="I16" s="10" t="str">
        <x:v>FY2026 final plan</x:v>
      </x:c>
      <x:c r="J16" s="10" t="str">
        <x:v>Final operating plan</x:v>
      </x:c>
      <x:c r="K16" s="10" t="str">
        <x:v>Funding level; collections estimated</x:v>
      </x:c>
      <x:c r="L16" s="10" t="str">
        <x:v>National CMS; all programs</x:v>
      </x:c>
      <x:c r="M16" s="10" t="str">
        <x:v>CMS26-collections-leaf</x:v>
      </x:c>
      <x:c r="N16" s="10" t="str">
        <x:v>F08</x:v>
      </x:c>
      <x:c r="O16" s="10" t="str">
        <x:v>E01</x:v>
      </x:c>
      <x:c r="P16" s="10" t="str">
        <x:v>One-page table; FY2026 column</x:v>
      </x:c>
      <x:c r="Q16" s="10" t="str">
        <x:v>https://www.cms.gov/files/document/fy-2026-program-management-operating-plan.pdf</x:v>
      </x:c>
    </x:row>
    <x:row r="17" ht="72" customHeight="1">
      <x:c r="A17" s="9" t="str">
        <x:v>F12</x:v>
      </x:c>
      <x:c r="B17" s="9" t="str">
        <x:v>PR-FED-PM</x:v>
      </x:c>
      <x:c r="C17" s="9" t="str">
        <x:v>CLIA user fees</x:v>
      </x:c>
      <x:c r="D17" s="14" t="n">
        <x:v>84.87</x:v>
      </x:c>
      <x:c r="E17" s="12" t="str">
        <x:v>USD million</x:v>
      </x:c>
      <x:c r="F17" s="12" t="n">
        <x:v>1000000</x:v>
      </x:c>
      <x:c r="G17" s="16" t="n">
        <x:f>D17*F17</x:f>
        <x:v>84870000</x:v>
      </x:c>
      <x:c r="H17" s="9" t="str">
        <x:v>FFY2026</x:v>
      </x:c>
      <x:c r="I17" s="9" t="str">
        <x:v>FY2026 final plan</x:v>
      </x:c>
      <x:c r="J17" s="9" t="str">
        <x:v>Final operating plan</x:v>
      </x:c>
      <x:c r="K17" s="9" t="str">
        <x:v>Funding level; collections estimated</x:v>
      </x:c>
      <x:c r="L17" s="9" t="str">
        <x:v>National CMS; all programs</x:v>
      </x:c>
      <x:c r="M17" s="9" t="str">
        <x:v>CMS26-collections-leaf</x:v>
      </x:c>
      <x:c r="N17" s="9" t="str">
        <x:v>F08</x:v>
      </x:c>
      <x:c r="O17" s="9" t="str">
        <x:v>E01</x:v>
      </x:c>
      <x:c r="P17" s="9" t="str">
        <x:v>One-page table; FY2026 column</x:v>
      </x:c>
      <x:c r="Q17" s="9" t="str">
        <x:v>https://www.cms.gov/files/document/fy-2026-program-management-operating-plan.pdf</x:v>
      </x:c>
    </x:row>
    <x:row r="18" ht="72" customHeight="1">
      <x:c r="A18" s="10" t="str">
        <x:v>F13</x:v>
      </x:c>
      <x:c r="B18" s="10" t="str">
        <x:v>PR-FED-PM</x:v>
      </x:c>
      <x:c r="C18" s="10" t="str">
        <x:v>Part D COB fees</x:v>
      </x:c>
      <x:c r="D18" s="13" t="n">
        <x:v>51.865</x:v>
      </x:c>
      <x:c r="E18" s="11" t="str">
        <x:v>USD million</x:v>
      </x:c>
      <x:c r="F18" s="11" t="n">
        <x:v>1000000</x:v>
      </x:c>
      <x:c r="G18" s="15" t="n">
        <x:f>D18*F18</x:f>
        <x:v>51865000</x:v>
      </x:c>
      <x:c r="H18" s="10" t="str">
        <x:v>FFY2026</x:v>
      </x:c>
      <x:c r="I18" s="10" t="str">
        <x:v>FY2026 final plan</x:v>
      </x:c>
      <x:c r="J18" s="10" t="str">
        <x:v>Final operating plan</x:v>
      </x:c>
      <x:c r="K18" s="10" t="str">
        <x:v>Funding level; collections estimated</x:v>
      </x:c>
      <x:c r="L18" s="10" t="str">
        <x:v>National CMS; all programs</x:v>
      </x:c>
      <x:c r="M18" s="10" t="str">
        <x:v>CMS26-collections-leaf</x:v>
      </x:c>
      <x:c r="N18" s="10" t="str">
        <x:v>F08</x:v>
      </x:c>
      <x:c r="O18" s="10" t="str">
        <x:v>E01</x:v>
      </x:c>
      <x:c r="P18" s="10" t="str">
        <x:v>One-page table; FY2026 column</x:v>
      </x:c>
      <x:c r="Q18" s="10" t="str">
        <x:v>https://www.cms.gov/files/document/fy-2026-program-management-operating-plan.pdf</x:v>
      </x:c>
    </x:row>
    <x:row r="19" ht="72" customHeight="1">
      <x:c r="A19" s="9" t="str">
        <x:v>F14</x:v>
      </x:c>
      <x:c r="B19" s="9" t="str">
        <x:v>PR-FED-PM</x:v>
      </x:c>
      <x:c r="C19" s="9" t="str">
        <x:v>MA/PDP fees</x:v>
      </x:c>
      <x:c r="D19" s="14" t="n">
        <x:v>119.763</x:v>
      </x:c>
      <x:c r="E19" s="12" t="str">
        <x:v>USD million</x:v>
      </x:c>
      <x:c r="F19" s="12" t="n">
        <x:v>1000000</x:v>
      </x:c>
      <x:c r="G19" s="16" t="n">
        <x:f>D19*F19</x:f>
        <x:v>119763000</x:v>
      </x:c>
      <x:c r="H19" s="9" t="str">
        <x:v>FFY2026</x:v>
      </x:c>
      <x:c r="I19" s="9" t="str">
        <x:v>FY2026 final plan</x:v>
      </x:c>
      <x:c r="J19" s="9" t="str">
        <x:v>Final operating plan</x:v>
      </x:c>
      <x:c r="K19" s="9" t="str">
        <x:v>Funding level; collections estimated</x:v>
      </x:c>
      <x:c r="L19" s="9" t="str">
        <x:v>National CMS; all programs</x:v>
      </x:c>
      <x:c r="M19" s="9" t="str">
        <x:v>CMS26-collections-leaf</x:v>
      </x:c>
      <x:c r="N19" s="9" t="str">
        <x:v>F08</x:v>
      </x:c>
      <x:c r="O19" s="9" t="str">
        <x:v>E01</x:v>
      </x:c>
      <x:c r="P19" s="9" t="str">
        <x:v>One-page table; FY2026 column</x:v>
      </x:c>
      <x:c r="Q19" s="9" t="str">
        <x:v>https://www.cms.gov/files/document/fy-2026-program-management-operating-plan.pdf</x:v>
      </x:c>
    </x:row>
    <x:row r="20" ht="72" customHeight="1">
      <x:c r="A20" s="10" t="str">
        <x:v>F15</x:v>
      </x:c>
      <x:c r="B20" s="10" t="str">
        <x:v>PR-FED-PM</x:v>
      </x:c>
      <x:c r="C20" s="10" t="str">
        <x:v>Provider enrollment fees</x:v>
      </x:c>
      <x:c r="D20" s="13" t="n">
        <x:v>31.839</x:v>
      </x:c>
      <x:c r="E20" s="11" t="str">
        <x:v>USD million</x:v>
      </x:c>
      <x:c r="F20" s="11" t="n">
        <x:v>1000000</x:v>
      </x:c>
      <x:c r="G20" s="15" t="n">
        <x:f>D20*F20</x:f>
        <x:v>31839000</x:v>
      </x:c>
      <x:c r="H20" s="10" t="str">
        <x:v>FFY2026</x:v>
      </x:c>
      <x:c r="I20" s="10" t="str">
        <x:v>FY2026 final plan</x:v>
      </x:c>
      <x:c r="J20" s="10" t="str">
        <x:v>Final operating plan</x:v>
      </x:c>
      <x:c r="K20" s="10" t="str">
        <x:v>Funding level; collections estimated</x:v>
      </x:c>
      <x:c r="L20" s="10" t="str">
        <x:v>National CMS; all programs</x:v>
      </x:c>
      <x:c r="M20" s="10" t="str">
        <x:v>CMS26-collections-leaf</x:v>
      </x:c>
      <x:c r="N20" s="10" t="str">
        <x:v>F08</x:v>
      </x:c>
      <x:c r="O20" s="10" t="str">
        <x:v>E01</x:v>
      </x:c>
      <x:c r="P20" s="10" t="str">
        <x:v>One-page table; FY2026 column</x:v>
      </x:c>
      <x:c r="Q20" s="10" t="str">
        <x:v>https://www.cms.gov/files/document/fy-2026-program-management-operating-plan.pdf</x:v>
      </x:c>
    </x:row>
    <x:row r="21" ht="72" customHeight="1">
      <x:c r="A21" s="9" t="str">
        <x:v>F16</x:v>
      </x:c>
      <x:c r="B21" s="9" t="str">
        <x:v>PR-FED-PM</x:v>
      </x:c>
      <x:c r="C21" s="9" t="str">
        <x:v>Risk adjustment fees</x:v>
      </x:c>
      <x:c r="D21" s="14" t="n">
        <x:v>70.612</x:v>
      </x:c>
      <x:c r="E21" s="12" t="str">
        <x:v>USD million</x:v>
      </x:c>
      <x:c r="F21" s="12" t="n">
        <x:v>1000000</x:v>
      </x:c>
      <x:c r="G21" s="16" t="n">
        <x:f>D21*F21</x:f>
        <x:v>70612000</x:v>
      </x:c>
      <x:c r="H21" s="9" t="str">
        <x:v>FFY2026</x:v>
      </x:c>
      <x:c r="I21" s="9" t="str">
        <x:v>FY2026 final plan</x:v>
      </x:c>
      <x:c r="J21" s="9" t="str">
        <x:v>Final operating plan</x:v>
      </x:c>
      <x:c r="K21" s="9" t="str">
        <x:v>Funding level; collections estimated</x:v>
      </x:c>
      <x:c r="L21" s="9" t="str">
        <x:v>National CMS; all programs</x:v>
      </x:c>
      <x:c r="M21" s="9" t="str">
        <x:v>CMS26-collections-leaf</x:v>
      </x:c>
      <x:c r="N21" s="9" t="str">
        <x:v>F08</x:v>
      </x:c>
      <x:c r="O21" s="9" t="str">
        <x:v>E01</x:v>
      </x:c>
      <x:c r="P21" s="9" t="str">
        <x:v>One-page table; FY2026 column</x:v>
      </x:c>
      <x:c r="Q21" s="9" t="str">
        <x:v>https://www.cms.gov/files/document/fy-2026-program-management-operating-plan.pdf</x:v>
      </x:c>
    </x:row>
    <x:row r="22" ht="72" customHeight="1">
      <x:c r="A22" s="10" t="str">
        <x:v>F17</x:v>
      </x:c>
      <x:c r="B22" s="10" t="str">
        <x:v>PR-FED-PM</x:v>
      </x:c>
      <x:c r="C22" s="10" t="str">
        <x:v>CMPs/Other</x:v>
      </x:c>
      <x:c r="D22" s="13" t="n">
        <x:v>51.196</x:v>
      </x:c>
      <x:c r="E22" s="11" t="str">
        <x:v>USD million</x:v>
      </x:c>
      <x:c r="F22" s="11" t="n">
        <x:v>1000000</x:v>
      </x:c>
      <x:c r="G22" s="15" t="n">
        <x:f>D22*F22</x:f>
        <x:v>51196000</x:v>
      </x:c>
      <x:c r="H22" s="10" t="str">
        <x:v>FFY2026</x:v>
      </x:c>
      <x:c r="I22" s="10" t="str">
        <x:v>FY2026 final plan</x:v>
      </x:c>
      <x:c r="J22" s="10" t="str">
        <x:v>Final operating plan</x:v>
      </x:c>
      <x:c r="K22" s="10" t="str">
        <x:v>Funding level; collections estimated</x:v>
      </x:c>
      <x:c r="L22" s="10" t="str">
        <x:v>National CMS; all programs</x:v>
      </x:c>
      <x:c r="M22" s="10" t="str">
        <x:v>CMS26-collections-leaf</x:v>
      </x:c>
      <x:c r="N22" s="10" t="str">
        <x:v>F08</x:v>
      </x:c>
      <x:c r="O22" s="10" t="str">
        <x:v>E01</x:v>
      </x:c>
      <x:c r="P22" s="10" t="str">
        <x:v>One-page table; FY2026 column</x:v>
      </x:c>
      <x:c r="Q22" s="10" t="str">
        <x:v>https://www.cms.gov/files/document/fy-2026-program-management-operating-plan.pdf</x:v>
      </x:c>
    </x:row>
    <x:row r="23" ht="72" customHeight="1">
      <x:c r="A23" s="9" t="str">
        <x:v>F18</x:v>
      </x:c>
      <x:c r="B23" s="9" t="str">
        <x:v>PR-FED-PM</x:v>
      </x:c>
      <x:c r="C23" s="9" t="str">
        <x:v>Sale of data fees</x:v>
      </x:c>
      <x:c r="D23" s="14" t="n">
        <x:v>35</x:v>
      </x:c>
      <x:c r="E23" s="12" t="str">
        <x:v>USD million</x:v>
      </x:c>
      <x:c r="F23" s="12" t="n">
        <x:v>1000000</x:v>
      </x:c>
      <x:c r="G23" s="16" t="n">
        <x:f>D23*F23</x:f>
        <x:v>35000000</x:v>
      </x:c>
      <x:c r="H23" s="9" t="str">
        <x:v>FFY2026</x:v>
      </x:c>
      <x:c r="I23" s="9" t="str">
        <x:v>FY2026 final plan</x:v>
      </x:c>
      <x:c r="J23" s="9" t="str">
        <x:v>Final operating plan</x:v>
      </x:c>
      <x:c r="K23" s="9" t="str">
        <x:v>Funding level; collections estimated</x:v>
      </x:c>
      <x:c r="L23" s="9" t="str">
        <x:v>National CMS; all programs</x:v>
      </x:c>
      <x:c r="M23" s="9" t="str">
        <x:v>CMS26-collections-leaf</x:v>
      </x:c>
      <x:c r="N23" s="9" t="str">
        <x:v>F08</x:v>
      </x:c>
      <x:c r="O23" s="9" t="str">
        <x:v>E01</x:v>
      </x:c>
      <x:c r="P23" s="9" t="str">
        <x:v>One-page table; FY2026 column</x:v>
      </x:c>
      <x:c r="Q23" s="9" t="str">
        <x:v>https://www.cms.gov/files/document/fy-2026-program-management-operating-plan.pdf</x:v>
      </x:c>
    </x:row>
    <x:row r="24" ht="72" customHeight="1">
      <x:c r="A24" s="10" t="str">
        <x:v>F19</x:v>
      </x:c>
      <x:c r="B24" s="10" t="str">
        <x:v>PR-FED-PM</x:v>
      </x:c>
      <x:c r="C24" s="10" t="str">
        <x:v>IDR user fees</x:v>
      </x:c>
      <x:c r="D24" s="13" t="n">
        <x:v>362.2</x:v>
      </x:c>
      <x:c r="E24" s="11" t="str">
        <x:v>USD million</x:v>
      </x:c>
      <x:c r="F24" s="11" t="n">
        <x:v>1000000</x:v>
      </x:c>
      <x:c r="G24" s="15" t="n">
        <x:f>D24*F24</x:f>
        <x:v>362200000</x:v>
      </x:c>
      <x:c r="H24" s="10" t="str">
        <x:v>FFY2026</x:v>
      </x:c>
      <x:c r="I24" s="10" t="str">
        <x:v>FY2026 final plan</x:v>
      </x:c>
      <x:c r="J24" s="10" t="str">
        <x:v>Final operating plan</x:v>
      </x:c>
      <x:c r="K24" s="10" t="str">
        <x:v>Funding level; collections estimated</x:v>
      </x:c>
      <x:c r="L24" s="10" t="str">
        <x:v>National CMS; all programs</x:v>
      </x:c>
      <x:c r="M24" s="10" t="str">
        <x:v>CMS26-collections-leaf</x:v>
      </x:c>
      <x:c r="N24" s="10" t="str">
        <x:v>F08</x:v>
      </x:c>
      <x:c r="O24" s="10" t="str">
        <x:v>E01</x:v>
      </x:c>
      <x:c r="P24" s="10" t="str">
        <x:v>One-page table; FY2026 column</x:v>
      </x:c>
      <x:c r="Q24" s="10" t="str">
        <x:v>https://www.cms.gov/files/document/fy-2026-program-management-operating-plan.pdf</x:v>
      </x:c>
    </x:row>
    <x:row r="25" ht="72" customHeight="1">
      <x:c r="A25" s="9" t="str">
        <x:v>F20</x:v>
      </x:c>
      <x:c r="B25" s="9" t="str">
        <x:v>PR-FED-PM</x:v>
      </x:c>
      <x:c r="C25" s="9" t="str">
        <x:v>CSI user fee</x:v>
      </x:c>
      <x:c r="D25" s="14" t="n">
        <x:v>177.542</x:v>
      </x:c>
      <x:c r="E25" s="12" t="str">
        <x:v>USD million</x:v>
      </x:c>
      <x:c r="F25" s="12" t="n">
        <x:v>1000000</x:v>
      </x:c>
      <x:c r="G25" s="16" t="n">
        <x:f>D25*F25</x:f>
        <x:v>177542000</x:v>
      </x:c>
      <x:c r="H25" s="9" t="str">
        <x:v>FFY2026</x:v>
      </x:c>
      <x:c r="I25" s="9" t="str">
        <x:v>FY2026 final plan</x:v>
      </x:c>
      <x:c r="J25" s="9" t="str">
        <x:v>Final operating plan</x:v>
      </x:c>
      <x:c r="K25" s="9" t="str">
        <x:v>Funding level; collections estimated</x:v>
      </x:c>
      <x:c r="L25" s="9" t="str">
        <x:v>National CMS; all programs</x:v>
      </x:c>
      <x:c r="M25" s="9" t="str">
        <x:v>CMS26-collections-leaf</x:v>
      </x:c>
      <x:c r="N25" s="9" t="str">
        <x:v>F08</x:v>
      </x:c>
      <x:c r="O25" s="9" t="str">
        <x:v>E01</x:v>
      </x:c>
      <x:c r="P25" s="9" t="str">
        <x:v>One-page table; FY2026 column</x:v>
      </x:c>
      <x:c r="Q25" s="9" t="str">
        <x:v>https://www.cms.gov/files/document/fy-2026-program-management-operating-plan.pdf</x:v>
      </x:c>
    </x:row>
    <x:row r="26" ht="72" customHeight="1">
      <x:c r="A26" s="10" t="str">
        <x:v>F21</x:v>
      </x:c>
      <x:c r="B26" s="10" t="str">
        <x:v>PR-FED-PM</x:v>
      </x:c>
      <x:c r="C26" s="10" t="str">
        <x:v>Total information technology</x:v>
      </x:c>
      <x:c r="D26" s="13" t="n">
        <x:v>3544402</x:v>
      </x:c>
      <x:c r="E26" s="11" t="str">
        <x:v>USD thousand</x:v>
      </x:c>
      <x:c r="F26" s="11" t="n">
        <x:v>1000</x:v>
      </x:c>
      <x:c r="G26" s="15" t="n">
        <x:f>D26*F26</x:f>
        <x:v>3544402000</x:v>
      </x:c>
      <x:c r="H26" s="10" t="str">
        <x:v>FFY2026</x:v>
      </x:c>
      <x:c r="I26" s="10" t="str">
        <x:v>FY2027 CJ</x:v>
      </x:c>
      <x:c r="J26" s="10" t="str">
        <x:v>Enacted column</x:v>
      </x:c>
      <x:c r="K26" s="10" t="str">
        <x:v>Budget exhibit; see scope</x:v>
      </x:c>
      <x:c r="L26" s="10" t="str">
        <x:v>CMS-wide IT, several funding streams</x:v>
      </x:c>
      <x:c r="M26" s="10" t="str">
        <x:v>CMS26-IT</x:v>
      </x:c>
      <x:c r="N26" s="10" t="str"/>
      <x:c r="O26" s="10" t="str">
        <x:v>E02</x:v>
      </x:c>
      <x:c r="P26" s="10" t="str">
        <x:v>Printed p.103, total IT</x:v>
      </x:c>
      <x:c r="Q26" s="10" t="str">
        <x:v>https://www.cms.gov/files/document/fy-2027-justification-estimates-appropriations-committees.pdf</x:v>
      </x:c>
    </x:row>
    <x:row r="27" ht="72" customHeight="1">
      <x:c r="A27" s="9" t="str">
        <x:v>F22</x:v>
      </x:c>
      <x:c r="B27" s="9" t="str">
        <x:v>PR-FED-PM</x:v>
      </x:c>
      <x:c r="C27" s="9" t="str">
        <x:v>Total information technology</x:v>
      </x:c>
      <x:c r="D27" s="14" t="n">
        <x:v>3274424</x:v>
      </x:c>
      <x:c r="E27" s="12" t="str">
        <x:v>USD thousand</x:v>
      </x:c>
      <x:c r="F27" s="12" t="n">
        <x:v>1000</x:v>
      </x:c>
      <x:c r="G27" s="16" t="n">
        <x:f>D27*F27</x:f>
        <x:v>3274424000</x:v>
      </x:c>
      <x:c r="H27" s="9" t="str">
        <x:v>FFY2027</x:v>
      </x:c>
      <x:c r="I27" s="9" t="str">
        <x:v>FY2027 CJ</x:v>
      </x:c>
      <x:c r="J27" s="9" t="str">
        <x:v>President request</x:v>
      </x:c>
      <x:c r="K27" s="9" t="str">
        <x:v>Budget exhibit; see scope</x:v>
      </x:c>
      <x:c r="L27" s="9" t="str">
        <x:v>CMS-wide IT, several funding streams</x:v>
      </x:c>
      <x:c r="M27" s="9" t="str">
        <x:v>CMS27-IT-request</x:v>
      </x:c>
      <x:c r="N27" s="9" t="str"/>
      <x:c r="O27" s="9" t="str">
        <x:v>E02</x:v>
      </x:c>
      <x:c r="P27" s="9" t="str">
        <x:v>Printed p.103, total IT</x:v>
      </x:c>
      <x:c r="Q27" s="9" t="str">
        <x:v>https://www.cms.gov/files/document/fy-2027-justification-estimates-appropriations-committees.pdf</x:v>
      </x:c>
    </x:row>
    <x:row r="28" ht="72" customHeight="1">
      <x:c r="A28" s="10" t="str">
        <x:v>F23</x:v>
      </x:c>
      <x:c r="B28" s="10" t="str">
        <x:v>PR-FED-PM</x:v>
      </x:c>
      <x:c r="C28" s="10" t="str">
        <x:v>Program Management FTE</x:v>
      </x:c>
      <x:c r="D28" s="13" t="n">
        <x:v>4447</x:v>
      </x:c>
      <x:c r="E28" s="11" t="str">
        <x:v>FTE</x:v>
      </x:c>
      <x:c r="F28" s="11"/>
      <x:c r="G28" s="15"/>
      <x:c r="H28" s="10" t="str">
        <x:v>FFY2025</x:v>
      </x:c>
      <x:c r="I28" s="10" t="str">
        <x:v>FY2027 CJ</x:v>
      </x:c>
      <x:c r="J28" s="10" t="str">
        <x:v>Final column</x:v>
      </x:c>
      <x:c r="K28" s="10" t="str">
        <x:v>Budget exhibit; see scope</x:v>
      </x:c>
      <x:c r="L28" s="10" t="str">
        <x:v>PM only; comparably adjusted to proposed reorganization</x:v>
      </x:c>
      <x:c r="M28" s="10" t="str">
        <x:v>CMS-FTE</x:v>
      </x:c>
      <x:c r="N28" s="10" t="str"/>
      <x:c r="O28" s="10" t="str">
        <x:v>E02</x:v>
      </x:c>
      <x:c r="P28" s="10" t="str">
        <x:v>Printed p.126, total PM FTE</x:v>
      </x:c>
      <x:c r="Q28" s="10" t="str">
        <x:v>https://www.cms.gov/files/document/fy-2027-justification-estimates-appropriations-committees.pdf</x:v>
      </x:c>
    </x:row>
    <x:row r="29" ht="72" customHeight="1">
      <x:c r="A29" s="9" t="str">
        <x:v>F24</x:v>
      </x:c>
      <x:c r="B29" s="9" t="str">
        <x:v>PR-FED-PM</x:v>
      </x:c>
      <x:c r="C29" s="9" t="str">
        <x:v>Program Management FTE</x:v>
      </x:c>
      <x:c r="D29" s="14" t="n">
        <x:v>4689</x:v>
      </x:c>
      <x:c r="E29" s="12" t="str">
        <x:v>FTE</x:v>
      </x:c>
      <x:c r="F29" s="12"/>
      <x:c r="G29" s="16"/>
      <x:c r="H29" s="9" t="str">
        <x:v>FFY2026</x:v>
      </x:c>
      <x:c r="I29" s="9" t="str">
        <x:v>FY2027 CJ</x:v>
      </x:c>
      <x:c r="J29" s="9" t="str">
        <x:v>Enacted column; FTE estimate</x:v>
      </x:c>
      <x:c r="K29" s="9" t="str">
        <x:v>Budget exhibit; see scope</x:v>
      </x:c>
      <x:c r="L29" s="9" t="str">
        <x:v>PM only; excludes other-source FTE and contractors</x:v>
      </x:c>
      <x:c r="M29" s="9" t="str">
        <x:v>CMS-FTE</x:v>
      </x:c>
      <x:c r="N29" s="9" t="str"/>
      <x:c r="O29" s="9" t="str">
        <x:v>E02</x:v>
      </x:c>
      <x:c r="P29" s="9" t="str">
        <x:v>Printed p.126, total PM FTE</x:v>
      </x:c>
      <x:c r="Q29" s="9" t="str">
        <x:v>https://www.cms.gov/files/document/fy-2027-justification-estimates-appropriations-committees.pdf</x:v>
      </x:c>
    </x:row>
    <x:row r="30" ht="72" customHeight="1">
      <x:c r="A30" s="10" t="str">
        <x:v>F25</x:v>
      </x:c>
      <x:c r="B30" s="10" t="str">
        <x:v>PR-FED-PM</x:v>
      </x:c>
      <x:c r="C30" s="10" t="str">
        <x:v>Program Management FTE</x:v>
      </x:c>
      <x:c r="D30" s="13" t="n">
        <x:v>4693</x:v>
      </x:c>
      <x:c r="E30" s="11" t="str">
        <x:v>FTE</x:v>
      </x:c>
      <x:c r="F30" s="11"/>
      <x:c r="G30" s="15"/>
      <x:c r="H30" s="10" t="str">
        <x:v>FFY2027</x:v>
      </x:c>
      <x:c r="I30" s="10" t="str">
        <x:v>FY2027 CJ</x:v>
      </x:c>
      <x:c r="J30" s="10" t="str">
        <x:v>President request; FTE estimate</x:v>
      </x:c>
      <x:c r="K30" s="10" t="str">
        <x:v>Budget exhibit; see scope</x:v>
      </x:c>
      <x:c r="L30" s="10" t="str">
        <x:v>PM only; proposed reorganization</x:v>
      </x:c>
      <x:c r="M30" s="10" t="str">
        <x:v>CMS-FTE</x:v>
      </x:c>
      <x:c r="N30" s="10" t="str"/>
      <x:c r="O30" s="10" t="str">
        <x:v>E02</x:v>
      </x:c>
      <x:c r="P30" s="10" t="str">
        <x:v>Printed p.126, total PM FTE</x:v>
      </x:c>
      <x:c r="Q30" s="10" t="str">
        <x:v>https://www.cms.gov/files/document/fy-2027-justification-estimates-appropriations-committees.pdf</x:v>
      </x:c>
    </x:row>
    <x:row r="31" ht="72" customHeight="1">
      <x:c r="A31" s="9" t="str">
        <x:v>F26</x:v>
      </x:c>
      <x:c r="B31" s="9" t="str">
        <x:v>PR-FED-PM</x:v>
      </x:c>
      <x:c r="C31" s="9" t="str">
        <x:v>Exchange eligibility and enrollment</x:v>
      </x:c>
      <x:c r="D31" s="14" t="n">
        <x:v>389078</x:v>
      </x:c>
      <x:c r="E31" s="12" t="str">
        <x:v>USD thousand</x:v>
      </x:c>
      <x:c r="F31" s="12" t="n">
        <x:v>1000</x:v>
      </x:c>
      <x:c r="G31" s="16" t="n">
        <x:f>D31*F31</x:f>
        <x:v>389078000</x:v>
      </x:c>
      <x:c r="H31" s="9" t="str">
        <x:v>FFY2025</x:v>
      </x:c>
      <x:c r="I31" s="9" t="str">
        <x:v>FY2027 CJ</x:v>
      </x:c>
      <x:c r="J31" s="9" t="str">
        <x:v>Actual obligations</x:v>
      </x:c>
      <x:c r="K31" s="9" t="str">
        <x:v>Budget exhibit; see scope</x:v>
      </x:c>
      <x:c r="L31" s="9" t="str">
        <x:v>Obligations as of 2025-09-30; not cash outlays</x:v>
      </x:c>
      <x:c r="M31" s="9" t="str">
        <x:v>EX25-child</x:v>
      </x:c>
      <x:c r="N31" s="9" t="str">
        <x:v>F29</x:v>
      </x:c>
      <x:c r="O31" s="9" t="str">
        <x:v>E02</x:v>
      </x:c>
      <x:c r="P31" s="9" t="str">
        <x:v>Printed p.139, eligibility row and notes</x:v>
      </x:c>
      <x:c r="Q31" s="9" t="str">
        <x:v>https://www.cms.gov/files/document/fy-2027-justification-estimates-appropriations-committees.pdf</x:v>
      </x:c>
    </x:row>
    <x:row r="32" ht="72" customHeight="1">
      <x:c r="A32" s="10" t="str">
        <x:v>F27</x:v>
      </x:c>
      <x:c r="B32" s="10" t="str">
        <x:v>PR-FED-PM</x:v>
      </x:c>
      <x:c r="C32" s="10" t="str">
        <x:v>Exchange eligibility and enrollment</x:v>
      </x:c>
      <x:c r="D32" s="13" t="n">
        <x:v>410631</x:v>
      </x:c>
      <x:c r="E32" s="11" t="str">
        <x:v>USD thousand</x:v>
      </x:c>
      <x:c r="F32" s="11" t="n">
        <x:v>1000</x:v>
      </x:c>
      <x:c r="G32" s="15" t="n">
        <x:f>D32*F32</x:f>
        <x:v>410631000</x:v>
      </x:c>
      <x:c r="H32" s="10" t="str">
        <x:v>FFY2026</x:v>
      </x:c>
      <x:c r="I32" s="10" t="str">
        <x:v>FY2027 CJ</x:v>
      </x:c>
      <x:c r="J32" s="10" t="str">
        <x:v>Enacted column</x:v>
      </x:c>
      <x:c r="K32" s="10" t="str">
        <x:v>Budget exhibit; see scope</x:v>
      </x:c>
      <x:c r="L32" s="10" t="str">
        <x:v>Activity within marketplace transparency total</x:v>
      </x:c>
      <x:c r="M32" s="10" t="str">
        <x:v>EX26-child</x:v>
      </x:c>
      <x:c r="N32" s="10" t="str">
        <x:v>F30</x:v>
      </x:c>
      <x:c r="O32" s="10" t="str">
        <x:v>E02</x:v>
      </x:c>
      <x:c r="P32" s="10" t="str">
        <x:v>Printed p.139, eligibility row</x:v>
      </x:c>
      <x:c r="Q32" s="10" t="str">
        <x:v>https://www.cms.gov/files/document/fy-2027-justification-estimates-appropriations-committees.pdf</x:v>
      </x:c>
    </x:row>
    <x:row r="33" ht="72" customHeight="1">
      <x:c r="A33" s="9" t="str">
        <x:v>F28</x:v>
      </x:c>
      <x:c r="B33" s="9" t="str">
        <x:v>PR-FED-PM</x:v>
      </x:c>
      <x:c r="C33" s="9" t="str">
        <x:v>Exchange eligibility and enrollment</x:v>
      </x:c>
      <x:c r="D33" s="14" t="n">
        <x:v>476229</x:v>
      </x:c>
      <x:c r="E33" s="12" t="str">
        <x:v>USD thousand</x:v>
      </x:c>
      <x:c r="F33" s="12" t="n">
        <x:v>1000</x:v>
      </x:c>
      <x:c r="G33" s="16" t="n">
        <x:f>D33*F33</x:f>
        <x:v>476229000</x:v>
      </x:c>
      <x:c r="H33" s="9" t="str">
        <x:v>FFY2027</x:v>
      </x:c>
      <x:c r="I33" s="9" t="str">
        <x:v>FY2027 CJ</x:v>
      </x:c>
      <x:c r="J33" s="9" t="str">
        <x:v>President request</x:v>
      </x:c>
      <x:c r="K33" s="9" t="str">
        <x:v>Budget exhibit; see scope</x:v>
      </x:c>
      <x:c r="L33" s="9" t="str">
        <x:v>Activity within marketplace transparency total</x:v>
      </x:c>
      <x:c r="M33" s="9" t="str">
        <x:v>EX27-child</x:v>
      </x:c>
      <x:c r="N33" s="9" t="str">
        <x:v>F31</x:v>
      </x:c>
      <x:c r="O33" s="9" t="str">
        <x:v>E02</x:v>
      </x:c>
      <x:c r="P33" s="9" t="str">
        <x:v>Printed p.139, eligibility row</x:v>
      </x:c>
      <x:c r="Q33" s="9" t="str">
        <x:v>https://www.cms.gov/files/document/fy-2027-justification-estimates-appropriations-committees.pdf</x:v>
      </x:c>
    </x:row>
    <x:row r="34" ht="72" customHeight="1">
      <x:c r="A34" s="10" t="str">
        <x:v>F29</x:v>
      </x:c>
      <x:c r="B34" s="10" t="str">
        <x:v>PR-FED-PM</x:v>
      </x:c>
      <x:c r="C34" s="10" t="str">
        <x:v>Marketplace transparency total</x:v>
      </x:c>
      <x:c r="D34" s="13" t="n">
        <x:v>2131182</x:v>
      </x:c>
      <x:c r="E34" s="11" t="str">
        <x:v>USD thousand</x:v>
      </x:c>
      <x:c r="F34" s="11" t="n">
        <x:v>1000</x:v>
      </x:c>
      <x:c r="G34" s="15" t="n">
        <x:f>D34*F34</x:f>
        <x:v>2131182000</x:v>
      </x:c>
      <x:c r="H34" s="10" t="str">
        <x:v>FFY2025</x:v>
      </x:c>
      <x:c r="I34" s="10" t="str">
        <x:v>FY2027 CJ</x:v>
      </x:c>
      <x:c r="J34" s="10" t="str">
        <x:v>Actual obligations</x:v>
      </x:c>
      <x:c r="K34" s="10" t="str">
        <x:v>Budget exhibit; see scope</x:v>
      </x:c>
      <x:c r="L34" s="10" t="str">
        <x:v>National marketplace activities; not identical to exchange fee collections</x:v>
      </x:c>
      <x:c r="M34" s="10" t="str">
        <x:v>EX25-total</x:v>
      </x:c>
      <x:c r="N34" s="10" t="str"/>
      <x:c r="O34" s="10" t="str">
        <x:v>E02</x:v>
      </x:c>
      <x:c r="P34" s="10" t="str">
        <x:v>Printed p.139, total and notes</x:v>
      </x:c>
      <x:c r="Q34" s="10" t="str">
        <x:v>https://www.cms.gov/files/document/fy-2027-justification-estimates-appropriations-committees.pdf</x:v>
      </x:c>
    </x:row>
    <x:row r="35" ht="72" customHeight="1">
      <x:c r="A35" s="9" t="str">
        <x:v>F30</x:v>
      </x:c>
      <x:c r="B35" s="9" t="str">
        <x:v>PR-FED-PM</x:v>
      </x:c>
      <x:c r="C35" s="9" t="str">
        <x:v>Marketplace transparency total</x:v>
      </x:c>
      <x:c r="D35" s="14" t="n">
        <x:v>2180105</x:v>
      </x:c>
      <x:c r="E35" s="12" t="str">
        <x:v>USD thousand</x:v>
      </x:c>
      <x:c r="F35" s="12" t="n">
        <x:v>1000</x:v>
      </x:c>
      <x:c r="G35" s="16" t="n">
        <x:f>D35*F35</x:f>
        <x:v>2180105000</x:v>
      </x:c>
      <x:c r="H35" s="9" t="str">
        <x:v>FFY2026</x:v>
      </x:c>
      <x:c r="I35" s="9" t="str">
        <x:v>FY2027 CJ</x:v>
      </x:c>
      <x:c r="J35" s="9" t="str">
        <x:v>Enacted column</x:v>
      </x:c>
      <x:c r="K35" s="9" t="str">
        <x:v>Budget exhibit; see scope</x:v>
      </x:c>
      <x:c r="L35" s="9" t="str">
        <x:v>Several funding sources; not exchange-fee collection measure</x:v>
      </x:c>
      <x:c r="M35" s="9" t="str">
        <x:v>EX26-total</x:v>
      </x:c>
      <x:c r="N35" s="9" t="str"/>
      <x:c r="O35" s="9" t="str">
        <x:v>E02</x:v>
      </x:c>
      <x:c r="P35" s="9" t="str">
        <x:v>Printed p.139, total</x:v>
      </x:c>
      <x:c r="Q35" s="9" t="str">
        <x:v>https://www.cms.gov/files/document/fy-2027-justification-estimates-appropriations-committees.pdf</x:v>
      </x:c>
    </x:row>
    <x:row r="36" ht="72" customHeight="1">
      <x:c r="A36" s="10" t="str">
        <x:v>F31</x:v>
      </x:c>
      <x:c r="B36" s="10" t="str">
        <x:v>PR-FED-PM</x:v>
      </x:c>
      <x:c r="C36" s="10" t="str">
        <x:v>Marketplace transparency total</x:v>
      </x:c>
      <x:c r="D36" s="13" t="n">
        <x:v>2134140</x:v>
      </x:c>
      <x:c r="E36" s="11" t="str">
        <x:v>USD thousand</x:v>
      </x:c>
      <x:c r="F36" s="11" t="n">
        <x:v>1000</x:v>
      </x:c>
      <x:c r="G36" s="15" t="n">
        <x:f>D36*F36</x:f>
        <x:v>2134140000</x:v>
      </x:c>
      <x:c r="H36" s="10" t="str">
        <x:v>FFY2027</x:v>
      </x:c>
      <x:c r="I36" s="10" t="str">
        <x:v>FY2027 CJ</x:v>
      </x:c>
      <x:c r="J36" s="10" t="str">
        <x:v>President request</x:v>
      </x:c>
      <x:c r="K36" s="10" t="str">
        <x:v>Budget exhibit; see scope</x:v>
      </x:c>
      <x:c r="L36" s="10" t="str">
        <x:v>Several funding sources; not exchange-fee collection measure</x:v>
      </x:c>
      <x:c r="M36" s="10" t="str">
        <x:v>EX27-total</x:v>
      </x:c>
      <x:c r="N36" s="10" t="str"/>
      <x:c r="O36" s="10" t="str">
        <x:v>E02</x:v>
      </x:c>
      <x:c r="P36" s="10" t="str">
        <x:v>Printed p.139, total</x:v>
      </x:c>
      <x:c r="Q36" s="10" t="str">
        <x:v>https://www.cms.gov/files/document/fy-2027-justification-estimates-appropriations-committees.pdf</x:v>
      </x:c>
    </x:row>
    <x:row r="37" ht="72" customHeight="1">
      <x:c r="A37" s="9" t="str">
        <x:v>F32</x:v>
      </x:c>
      <x:c r="B37" s="9" t="str">
        <x:v>PR-FED-PM</x:v>
      </x:c>
      <x:c r="C37" s="9" t="str">
        <x:v>Marketplace information technology</x:v>
      </x:c>
      <x:c r="D37" s="14" t="n">
        <x:v>729483</x:v>
      </x:c>
      <x:c r="E37" s="12" t="str">
        <x:v>USD thousand</x:v>
      </x:c>
      <x:c r="F37" s="12" t="n">
        <x:v>1000</x:v>
      </x:c>
      <x:c r="G37" s="16" t="n">
        <x:f>D37*F37</x:f>
        <x:v>729483000</x:v>
      </x:c>
      <x:c r="H37" s="9" t="str">
        <x:v>FFY2026</x:v>
      </x:c>
      <x:c r="I37" s="9" t="str">
        <x:v>FY2027 CJ</x:v>
      </x:c>
      <x:c r="J37" s="9" t="str">
        <x:v>Enacted column</x:v>
      </x:c>
      <x:c r="K37" s="9" t="str">
        <x:v>Budget exhibit; see scope</x:v>
      </x:c>
      <x:c r="L37" s="9" t="str">
        <x:v>Within marketplace total; cross-cut of IT portfolio</x:v>
      </x:c>
      <x:c r="M37" s="9" t="str">
        <x:v>EX26-child</x:v>
      </x:c>
      <x:c r="N37" s="9" t="str">
        <x:v>F30</x:v>
      </x:c>
      <x:c r="O37" s="9" t="str">
        <x:v>E02</x:v>
      </x:c>
      <x:c r="P37" s="9" t="str">
        <x:v>Printed p.139, IT row</x:v>
      </x:c>
      <x:c r="Q37" s="9" t="str">
        <x:v>https://www.cms.gov/files/document/fy-2027-justification-estimates-appropriations-committees.pdf</x:v>
      </x:c>
    </x:row>
    <x:row r="38" ht="72" customHeight="1">
      <x:c r="A38" s="10" t="str">
        <x:v>F33</x:v>
      </x:c>
      <x:c r="B38" s="10" t="str">
        <x:v>PR-FED-PM</x:v>
      </x:c>
      <x:c r="C38" s="10" t="str">
        <x:v>Marketplace consumer information and outreach</x:v>
      </x:c>
      <x:c r="D38" s="13" t="n">
        <x:v>663022</x:v>
      </x:c>
      <x:c r="E38" s="11" t="str">
        <x:v>USD thousand</x:v>
      </x:c>
      <x:c r="F38" s="11" t="n">
        <x:v>1000</x:v>
      </x:c>
      <x:c r="G38" s="15" t="n">
        <x:f>D38*F38</x:f>
        <x:v>663022000</x:v>
      </x:c>
      <x:c r="H38" s="10" t="str">
        <x:v>FFY2026</x:v>
      </x:c>
      <x:c r="I38" s="10" t="str">
        <x:v>FY2027 CJ</x:v>
      </x:c>
      <x:c r="J38" s="10" t="str">
        <x:v>Enacted column</x:v>
      </x:c>
      <x:c r="K38" s="10" t="str">
        <x:v>Budget exhibit; see scope</x:v>
      </x:c>
      <x:c r="L38" s="10" t="str">
        <x:v>Parent of non-add call center row</x:v>
      </x:c>
      <x:c r="M38" s="10" t="str">
        <x:v>EX26-child</x:v>
      </x:c>
      <x:c r="N38" s="10" t="str">
        <x:v>F30</x:v>
      </x:c>
      <x:c r="O38" s="10" t="str">
        <x:v>E02</x:v>
      </x:c>
      <x:c r="P38" s="10" t="str">
        <x:v>Printed p.139, consumer information row</x:v>
      </x:c>
      <x:c r="Q38" s="10" t="str">
        <x:v>https://www.cms.gov/files/document/fy-2027-justification-estimates-appropriations-committees.pdf</x:v>
      </x:c>
    </x:row>
    <x:row r="39" ht="72" customHeight="1">
      <x:c r="A39" s="9" t="str">
        <x:v>F34</x:v>
      </x:c>
      <x:c r="B39" s="9" t="str">
        <x:v>PR-FED-PM</x:v>
      </x:c>
      <x:c r="C39" s="9" t="str">
        <x:v>Marketplace call center (non-add)</x:v>
      </x:c>
      <x:c r="D39" s="14" t="n">
        <x:v>501730</x:v>
      </x:c>
      <x:c r="E39" s="12" t="str">
        <x:v>USD thousand</x:v>
      </x:c>
      <x:c r="F39" s="12" t="n">
        <x:v>1000</x:v>
      </x:c>
      <x:c r="G39" s="16" t="n">
        <x:f>D39*F39</x:f>
        <x:v>501730000</x:v>
      </x:c>
      <x:c r="H39" s="9" t="str">
        <x:v>FFY2026</x:v>
      </x:c>
      <x:c r="I39" s="9" t="str">
        <x:v>FY2027 CJ</x:v>
      </x:c>
      <x:c r="J39" s="9" t="str">
        <x:v>Enacted column</x:v>
      </x:c>
      <x:c r="K39" s="9" t="str">
        <x:v>Budget exhibit; see scope</x:v>
      </x:c>
      <x:c r="L39" s="9" t="str">
        <x:v>Already included in consumer information</x:v>
      </x:c>
      <x:c r="M39" s="9" t="str">
        <x:v>EX26-non-add</x:v>
      </x:c>
      <x:c r="N39" s="9" t="str">
        <x:v>F33</x:v>
      </x:c>
      <x:c r="O39" s="9" t="str">
        <x:v>E02</x:v>
      </x:c>
      <x:c r="P39" s="9" t="str">
        <x:v>Printed p.139, call center non-add</x:v>
      </x:c>
      <x:c r="Q39" s="9" t="str">
        <x:v>https://www.cms.gov/files/document/fy-2027-justification-estimates-appropriations-committees.pdf</x:v>
      </x:c>
    </x:row>
    <x:row r="40" ht="72" customHeight="1">
      <x:c r="A40" s="10" t="str">
        <x:v>F35</x:v>
      </x:c>
      <x:c r="B40" s="10" t="str">
        <x:v>PR-FED-MED</x:v>
      </x:c>
      <x:c r="C40" s="10" t="str">
        <x:v>State and local Medicaid administration</x:v>
      </x:c>
      <x:c r="D40" s="13" t="n">
        <x:v>33.6</x:v>
      </x:c>
      <x:c r="E40" s="11" t="str">
        <x:v>USD billion</x:v>
      </x:c>
      <x:c r="F40" s="11" t="n">
        <x:v>1000000000</x:v>
      </x:c>
      <x:c r="G40" s="15" t="n">
        <x:f>D40*F40</x:f>
        <x:v>33600000000</x:v>
      </x:c>
      <x:c r="H40" s="10" t="str">
        <x:v>FFY2027</x:v>
      </x:c>
      <x:c r="I40" s="10" t="str">
        <x:v>FY2027 CJ</x:v>
      </x:c>
      <x:c r="J40" s="10" t="str">
        <x:v>President request projection</x:v>
      </x:c>
      <x:c r="K40" s="10" t="str">
        <x:v>Federal anticipated obligations</x:v>
      </x:c>
      <x:c r="L40" s="10" t="str">
        <x:v>National federal contribution, not gross state cost or federal staff</x:v>
      </x:c>
      <x:c r="M40" s="10" t="str">
        <x:v>MED27-non-add</x:v>
      </x:c>
      <x:c r="N40" s="10" t="str"/>
      <x:c r="O40" s="10" t="str">
        <x:v>E02</x:v>
      </x:c>
      <x:c r="P40" s="10" t="str">
        <x:v>Printed p.5, Medicaid obligations narrative</x:v>
      </x:c>
      <x:c r="Q40" s="10" t="str">
        <x:v>https://www.cms.gov/files/document/fy-2027-justification-estimates-appropriations-committees.pdf</x:v>
      </x:c>
    </x:row>
    <x:row r="41" ht="72" customHeight="1">
      <x:c r="A41" s="9" t="str">
        <x:v>S01</x:v>
      </x:c>
      <x:c r="B41" s="9" t="str">
        <x:v>PR-OR-OEP</x:v>
      </x:c>
      <x:c r="C41" s="9" t="str">
        <x:v>OEP Governor total</x:v>
      </x:c>
      <x:c r="D41" s="14" t="n">
        <x:v>952.4</x:v>
      </x:c>
      <x:c r="E41" s="12" t="str">
        <x:v>USD million</x:v>
      </x:c>
      <x:c r="F41" s="12" t="n">
        <x:v>1000000</x:v>
      </x:c>
      <x:c r="G41" s="16" t="n">
        <x:f>D41*F41</x:f>
        <x:v>952400000</x:v>
      </x:c>
      <x:c r="H41" s="9" t="str">
        <x:v>OR biennium 2025–27</x:v>
      </x:c>
      <x:c r="I41" s="9" t="str">
        <x:v>2025-03-27 GRB presentation</x:v>
      </x:c>
      <x:c r="J41" s="9" t="str">
        <x:v>Governor proposal</x:v>
      </x:c>
      <x:c r="K41" s="9" t="str">
        <x:v>Budget / workload as labeled</x:v>
      </x:c>
      <x:c r="L41" s="9" t="str">
        <x:v>All OEP; older proposal, not adopted baseline</x:v>
      </x:c>
      <x:c r="M41" s="9" t="str">
        <x:v>OR-GRB-control</x:v>
      </x:c>
      <x:c r="N41" s="9" t="str"/>
      <x:c r="O41" s="9" t="str">
        <x:v>E03</x:v>
      </x:c>
      <x:c r="P41" s="9" t="str">
        <x:v>Slide 8</x:v>
      </x:c>
      <x:c r="Q41" s="9" t="str">
        <x:v>https://www.oregon.gov/odhs/about/legislativeinformation/2025-wm-oep.pdf</x:v>
      </x:c>
    </x:row>
    <x:row r="42" ht="72" customHeight="1">
      <x:c r="A42" s="10" t="str">
        <x:v>S02</x:v>
      </x:c>
      <x:c r="B42" s="10" t="str">
        <x:v>PR-OR-OEP</x:v>
      </x:c>
      <x:c r="C42" s="10" t="str">
        <x:v>ONE system category displayed total</x:v>
      </x:c>
      <x:c r="D42" s="13" t="n">
        <x:v>198.2</x:v>
      </x:c>
      <x:c r="E42" s="11" t="str">
        <x:v>USD million</x:v>
      </x:c>
      <x:c r="F42" s="11" t="n">
        <x:v>1000000</x:v>
      </x:c>
      <x:c r="G42" s="15" t="n">
        <x:f>D42*F42</x:f>
        <x:v>198200000</x:v>
      </x:c>
      <x:c r="H42" s="10" t="str">
        <x:v>OR biennium 2025–27</x:v>
      </x:c>
      <x:c r="I42" s="10" t="str">
        <x:v>2025-03-27 GRB presentation</x:v>
      </x:c>
      <x:c r="J42" s="10" t="str">
        <x:v>Governor proposal</x:v>
      </x:c>
      <x:c r="K42" s="10" t="str">
        <x:v>Budget / workload as labeled</x:v>
      </x:c>
      <x:c r="L42" s="10" t="str">
        <x:v>Includes CAM and Business Information Systems</x:v>
      </x:c>
      <x:c r="M42" s="10" t="str">
        <x:v>OR-GRB-ONE-control</x:v>
      </x:c>
      <x:c r="N42" s="10" t="str">
        <x:v>S01</x:v>
      </x:c>
      <x:c r="O42" s="10" t="str">
        <x:v>E03</x:v>
      </x:c>
      <x:c r="P42" s="10" t="str">
        <x:v>Slides 12,18; scope footnote</x:v>
      </x:c>
      <x:c r="Q42" s="10" t="str">
        <x:v>https://www.oregon.gov/odhs/about/legislativeinformation/2025-wm-oep.pdf</x:v>
      </x:c>
    </x:row>
    <x:row r="43" ht="72" customHeight="1">
      <x:c r="A43" s="9" t="str">
        <x:v>S03</x:v>
      </x:c>
      <x:c r="B43" s="9" t="str">
        <x:v>PR-OR-OEP</x:v>
      </x:c>
      <x:c r="C43" s="9" t="str">
        <x:v>ONE category General Fund</x:v>
      </x:c>
      <x:c r="D43" s="14" t="n">
        <x:v>74020059</x:v>
      </x:c>
      <x:c r="E43" s="12" t="str">
        <x:v>USD</x:v>
      </x:c>
      <x:c r="F43" s="12" t="n">
        <x:v>1</x:v>
      </x:c>
      <x:c r="G43" s="16" t="n">
        <x:f>D43*F43</x:f>
        <x:v>74020059</x:v>
      </x:c>
      <x:c r="H43" s="9" t="str">
        <x:v>OR biennium 2025–27</x:v>
      </x:c>
      <x:c r="I43" s="9" t="str">
        <x:v>2025-03-27 GRB presentation</x:v>
      </x:c>
      <x:c r="J43" s="9" t="str">
        <x:v>Governor proposal</x:v>
      </x:c>
      <x:c r="K43" s="9" t="str">
        <x:v>Budget / workload as labeled</x:v>
      </x:c>
      <x:c r="L43" s="9" t="str">
        <x:v>Broad ONE category, not only Medicaid</x:v>
      </x:c>
      <x:c r="M43" s="9" t="str">
        <x:v>OR-GRB-ONE-fund</x:v>
      </x:c>
      <x:c r="N43" s="9" t="str">
        <x:v>S02</x:v>
      </x:c>
      <x:c r="O43" s="9" t="str">
        <x:v>E03</x:v>
      </x:c>
      <x:c r="P43" s="9" t="str">
        <x:v>Slide 18</x:v>
      </x:c>
      <x:c r="Q43" s="9" t="str">
        <x:v>https://www.oregon.gov/odhs/about/legislativeinformation/2025-wm-oep.pdf</x:v>
      </x:c>
    </x:row>
    <x:row r="44" ht="72" customHeight="1">
      <x:c r="A44" s="10" t="str">
        <x:v>S04</x:v>
      </x:c>
      <x:c r="B44" s="10" t="str">
        <x:v>PR-OR-OEP</x:v>
      </x:c>
      <x:c r="C44" s="10" t="str">
        <x:v>ONE category Other Funds</x:v>
      </x:c>
      <x:c r="D44" s="13" t="n">
        <x:v>3159897</x:v>
      </x:c>
      <x:c r="E44" s="11" t="str">
        <x:v>USD</x:v>
      </x:c>
      <x:c r="F44" s="11" t="n">
        <x:v>1</x:v>
      </x:c>
      <x:c r="G44" s="15" t="n">
        <x:f>D44*F44</x:f>
        <x:v>3159897</x:v>
      </x:c>
      <x:c r="H44" s="10" t="str">
        <x:v>OR biennium 2025–27</x:v>
      </x:c>
      <x:c r="I44" s="10" t="str">
        <x:v>2025-03-27 GRB presentation</x:v>
      </x:c>
      <x:c r="J44" s="10" t="str">
        <x:v>Governor proposal</x:v>
      </x:c>
      <x:c r="K44" s="10" t="str">
        <x:v>Budget / workload as labeled</x:v>
      </x:c>
      <x:c r="L44" s="10" t="str">
        <x:v>Broad ONE category, not only Medicaid</x:v>
      </x:c>
      <x:c r="M44" s="10" t="str">
        <x:v>OR-GRB-ONE-fund</x:v>
      </x:c>
      <x:c r="N44" s="10" t="str">
        <x:v>S02</x:v>
      </x:c>
      <x:c r="O44" s="10" t="str">
        <x:v>E03</x:v>
      </x:c>
      <x:c r="P44" s="10" t="str">
        <x:v>Slide 18</x:v>
      </x:c>
      <x:c r="Q44" s="10" t="str">
        <x:v>https://www.oregon.gov/odhs/about/legislativeinformation/2025-wm-oep.pdf</x:v>
      </x:c>
    </x:row>
    <x:row r="45" ht="72" customHeight="1">
      <x:c r="A45" s="9" t="str">
        <x:v>S05</x:v>
      </x:c>
      <x:c r="B45" s="9" t="str">
        <x:v>PR-OR-OEP</x:v>
      </x:c>
      <x:c r="C45" s="9" t="str">
        <x:v>ONE category Federal Funds</x:v>
      </x:c>
      <x:c r="D45" s="14" t="n">
        <x:v>121058738</x:v>
      </x:c>
      <x:c r="E45" s="12" t="str">
        <x:v>USD</x:v>
      </x:c>
      <x:c r="F45" s="12" t="n">
        <x:v>1</x:v>
      </x:c>
      <x:c r="G45" s="16" t="n">
        <x:f>D45*F45</x:f>
        <x:v>121058738</x:v>
      </x:c>
      <x:c r="H45" s="9" t="str">
        <x:v>OR biennium 2025–27</x:v>
      </x:c>
      <x:c r="I45" s="9" t="str">
        <x:v>2025-03-27 GRB presentation</x:v>
      </x:c>
      <x:c r="J45" s="9" t="str">
        <x:v>Governor proposal</x:v>
      </x:c>
      <x:c r="K45" s="9" t="str">
        <x:v>Budget / workload as labeled</x:v>
      </x:c>
      <x:c r="L45" s="9" t="str">
        <x:v>Broad ONE category, not only Medicaid</x:v>
      </x:c>
      <x:c r="M45" s="9" t="str">
        <x:v>OR-GRB-ONE-fund</x:v>
      </x:c>
      <x:c r="N45" s="9" t="str">
        <x:v>S02</x:v>
      </x:c>
      <x:c r="O45" s="9" t="str">
        <x:v>E03</x:v>
      </x:c>
      <x:c r="P45" s="9" t="str">
        <x:v>Slide 18</x:v>
      </x:c>
      <x:c r="Q45" s="9" t="str">
        <x:v>https://www.oregon.gov/odhs/about/legislativeinformation/2025-wm-oep.pdf</x:v>
      </x:c>
    </x:row>
    <x:row r="46" ht="72" customHeight="1">
      <x:c r="A46" s="10" t="str">
        <x:v>S06</x:v>
      </x:c>
      <x:c r="B46" s="10" t="str">
        <x:v>PR-OR-OEP</x:v>
      </x:c>
      <x:c r="C46" s="10" t="str">
        <x:v>ONE and other professional services</x:v>
      </x:c>
      <x:c r="D46" s="13" t="n">
        <x:v>88.8</x:v>
      </x:c>
      <x:c r="E46" s="11" t="str">
        <x:v>USD million</x:v>
      </x:c>
      <x:c r="F46" s="11" t="n">
        <x:v>1000000</x:v>
      </x:c>
      <x:c r="G46" s="15" t="n">
        <x:f>D46*F46</x:f>
        <x:v>88800000</x:v>
      </x:c>
      <x:c r="H46" s="10" t="str">
        <x:v>OR biennium 2025–27</x:v>
      </x:c>
      <x:c r="I46" s="10" t="str">
        <x:v>2025-03-27 GRB presentation</x:v>
      </x:c>
      <x:c r="J46" s="10" t="str">
        <x:v>Governor proposal</x:v>
      </x:c>
      <x:c r="K46" s="10" t="str">
        <x:v>Budget / workload as labeled</x:v>
      </x:c>
      <x:c r="L46" s="10" t="str">
        <x:v>Major-cost display; not incremental or free capacity</x:v>
      </x:c>
      <x:c r="M46" s="10" t="str">
        <x:v>OR-GRB-major-cost</x:v>
      </x:c>
      <x:c r="N46" s="10" t="str">
        <x:v>S02</x:v>
      </x:c>
      <x:c r="O46" s="10" t="str">
        <x:v>E03</x:v>
      </x:c>
      <x:c r="P46" s="10" t="str">
        <x:v>Slide 19; proposal packages included</x:v>
      </x:c>
      <x:c r="Q46" s="10" t="str">
        <x:v>https://www.oregon.gov/odhs/about/legislativeinformation/2025-wm-oep.pdf</x:v>
      </x:c>
    </x:row>
    <x:row r="47" ht="72" customHeight="1">
      <x:c r="A47" s="9" t="str">
        <x:v>S07</x:v>
      </x:c>
      <x:c r="B47" s="9" t="str">
        <x:v>PR-OR-OEP</x:v>
      </x:c>
      <x:c r="C47" s="9" t="str">
        <x:v>Software licenses and hosting</x:v>
      </x:c>
      <x:c r="D47" s="14" t="n">
        <x:v>42.6</x:v>
      </x:c>
      <x:c r="E47" s="12" t="str">
        <x:v>USD million</x:v>
      </x:c>
      <x:c r="F47" s="12" t="n">
        <x:v>1000000</x:v>
      </x:c>
      <x:c r="G47" s="16" t="n">
        <x:f>D47*F47</x:f>
        <x:v>42600000</x:v>
      </x:c>
      <x:c r="H47" s="9" t="str">
        <x:v>OR biennium 2025–27</x:v>
      </x:c>
      <x:c r="I47" s="9" t="str">
        <x:v>2025-03-27 GRB presentation</x:v>
      </x:c>
      <x:c r="J47" s="9" t="str">
        <x:v>Governor proposal</x:v>
      </x:c>
      <x:c r="K47" s="9" t="str">
        <x:v>Budget / workload as labeled</x:v>
      </x:c>
      <x:c r="L47" s="9" t="str">
        <x:v>Major-cost display; not incremental or free capacity</x:v>
      </x:c>
      <x:c r="M47" s="9" t="str">
        <x:v>OR-GRB-major-cost</x:v>
      </x:c>
      <x:c r="N47" s="9" t="str">
        <x:v>S02</x:v>
      </x:c>
      <x:c r="O47" s="9" t="str">
        <x:v>E03</x:v>
      </x:c>
      <x:c r="P47" s="9" t="str">
        <x:v>Slide 19; proposal packages included</x:v>
      </x:c>
      <x:c r="Q47" s="9" t="str">
        <x:v>https://www.oregon.gov/odhs/about/legislativeinformation/2025-wm-oep.pdf</x:v>
      </x:c>
    </x:row>
    <x:row r="48" ht="72" customHeight="1">
      <x:c r="A48" s="10" t="str">
        <x:v>S08</x:v>
      </x:c>
      <x:c r="B48" s="10" t="str">
        <x:v>PR-OR-OEP</x:v>
      </x:c>
      <x:c r="C48" s="10" t="str">
        <x:v>Federal Data Services Hub label</x:v>
      </x:c>
      <x:c r="D48" s="13" t="n">
        <x:v>20</x:v>
      </x:c>
      <x:c r="E48" s="11" t="str">
        <x:v>USD million</x:v>
      </x:c>
      <x:c r="F48" s="11" t="n">
        <x:v>1000000</x:v>
      </x:c>
      <x:c r="G48" s="15" t="n">
        <x:f>D48*F48</x:f>
        <x:v>20000000</x:v>
      </x:c>
      <x:c r="H48" s="10" t="str">
        <x:v>OR biennium 2025–27</x:v>
      </x:c>
      <x:c r="I48" s="10" t="str">
        <x:v>2025-03-27 GRB presentation</x:v>
      </x:c>
      <x:c r="J48" s="10" t="str">
        <x:v>Governor proposal</x:v>
      </x:c>
      <x:c r="K48" s="10" t="str">
        <x:v>Budget / workload as labeled</x:v>
      </x:c>
      <x:c r="L48" s="10" t="str">
        <x:v>Major-cost display; not incremental or free capacity</x:v>
      </x:c>
      <x:c r="M48" s="10" t="str">
        <x:v>OR-GRB-major-cost</x:v>
      </x:c>
      <x:c r="N48" s="10" t="str">
        <x:v>S02</x:v>
      </x:c>
      <x:c r="O48" s="10" t="str">
        <x:v>E03</x:v>
      </x:c>
      <x:c r="P48" s="10" t="str">
        <x:v>Slide 19; proposal packages included</x:v>
      </x:c>
      <x:c r="Q48" s="10" t="str">
        <x:v>https://www.oregon.gov/odhs/about/legislativeinformation/2025-wm-oep.pdf</x:v>
      </x:c>
    </x:row>
    <x:row r="49" ht="72" customHeight="1">
      <x:c r="A49" s="9" t="str">
        <x:v>S09</x:v>
      </x:c>
      <x:c r="B49" s="9" t="str">
        <x:v>PR-OR-OEP</x:v>
      </x:c>
      <x:c r="C49" s="9" t="str">
        <x:v>State staff</x:v>
      </x:c>
      <x:c r="D49" s="14" t="n">
        <x:v>38.3</x:v>
      </x:c>
      <x:c r="E49" s="12" t="str">
        <x:v>USD million</x:v>
      </x:c>
      <x:c r="F49" s="12" t="n">
        <x:v>1000000</x:v>
      </x:c>
      <x:c r="G49" s="16" t="n">
        <x:f>D49*F49</x:f>
        <x:v>38300000</x:v>
      </x:c>
      <x:c r="H49" s="9" t="str">
        <x:v>OR biennium 2025–27</x:v>
      </x:c>
      <x:c r="I49" s="9" t="str">
        <x:v>2025-03-27 GRB presentation</x:v>
      </x:c>
      <x:c r="J49" s="9" t="str">
        <x:v>Governor proposal</x:v>
      </x:c>
      <x:c r="K49" s="9" t="str">
        <x:v>Budget / workload as labeled</x:v>
      </x:c>
      <x:c r="L49" s="9" t="str">
        <x:v>Major-cost display; not incremental or free capacity</x:v>
      </x:c>
      <x:c r="M49" s="9" t="str">
        <x:v>OR-GRB-major-cost</x:v>
      </x:c>
      <x:c r="N49" s="9" t="str">
        <x:v>S02</x:v>
      </x:c>
      <x:c r="O49" s="9" t="str">
        <x:v>E03</x:v>
      </x:c>
      <x:c r="P49" s="9" t="str">
        <x:v>Slide 19; proposal packages included</x:v>
      </x:c>
      <x:c r="Q49" s="9" t="str">
        <x:v>https://www.oregon.gov/odhs/about/legislativeinformation/2025-wm-oep.pdf</x:v>
      </x:c>
    </x:row>
    <x:row r="50" ht="72" customHeight="1">
      <x:c r="A50" s="10" t="str">
        <x:v>S10</x:v>
      </x:c>
      <x:c r="B50" s="10" t="str">
        <x:v>PR-OR-OEP</x:v>
      </x:c>
      <x:c r="C50" s="10" t="str">
        <x:v>Federal / operational changes</x:v>
      </x:c>
      <x:c r="D50" s="13" t="n">
        <x:v>3</x:v>
      </x:c>
      <x:c r="E50" s="11" t="str">
        <x:v>USD million</x:v>
      </x:c>
      <x:c r="F50" s="11" t="n">
        <x:v>1000000</x:v>
      </x:c>
      <x:c r="G50" s="15" t="n">
        <x:f>D50*F50</x:f>
        <x:v>3000000</x:v>
      </x:c>
      <x:c r="H50" s="10" t="str">
        <x:v>OR biennium 2025–27</x:v>
      </x:c>
      <x:c r="I50" s="10" t="str">
        <x:v>2025-03-27 GRB presentation</x:v>
      </x:c>
      <x:c r="J50" s="10" t="str">
        <x:v>Governor proposal</x:v>
      </x:c>
      <x:c r="K50" s="10" t="str">
        <x:v>Budget / workload as labeled</x:v>
      </x:c>
      <x:c r="L50" s="10" t="str">
        <x:v>Major-cost display; not incremental or free capacity</x:v>
      </x:c>
      <x:c r="M50" s="10" t="str">
        <x:v>OR-GRB-major-cost</x:v>
      </x:c>
      <x:c r="N50" s="10" t="str">
        <x:v>S02</x:v>
      </x:c>
      <x:c r="O50" s="10" t="str">
        <x:v>E03</x:v>
      </x:c>
      <x:c r="P50" s="10" t="str">
        <x:v>Slide 19; proposal packages included</x:v>
      </x:c>
      <x:c r="Q50" s="10" t="str">
        <x:v>https://www.oregon.gov/odhs/about/legislativeinformation/2025-wm-oep.pdf</x:v>
      </x:c>
    </x:row>
    <x:row r="51" ht="72" customHeight="1">
      <x:c r="A51" s="9" t="str">
        <x:v>S11</x:v>
      </x:c>
      <x:c r="B51" s="9" t="str">
        <x:v>PR-OR-OEP</x:v>
      </x:c>
      <x:c r="C51" s="9" t="str">
        <x:v>Centralized Abuse Management</x:v>
      </x:c>
      <x:c r="D51" s="14" t="n">
        <x:v>6</x:v>
      </x:c>
      <x:c r="E51" s="12" t="str">
        <x:v>USD million</x:v>
      </x:c>
      <x:c r="F51" s="12" t="n">
        <x:v>1000000</x:v>
      </x:c>
      <x:c r="G51" s="16" t="n">
        <x:f>D51*F51</x:f>
        <x:v>6000000</x:v>
      </x:c>
      <x:c r="H51" s="9" t="str">
        <x:v>OR biennium 2025–27</x:v>
      </x:c>
      <x:c r="I51" s="9" t="str">
        <x:v>2025-03-27 GRB presentation</x:v>
      </x:c>
      <x:c r="J51" s="9" t="str">
        <x:v>Governor proposal</x:v>
      </x:c>
      <x:c r="K51" s="9" t="str">
        <x:v>Budget / workload as labeled</x:v>
      </x:c>
      <x:c r="L51" s="9" t="str">
        <x:v>Major-cost display; not incremental or free capacity</x:v>
      </x:c>
      <x:c r="M51" s="9" t="str">
        <x:v>OR-GRB-major-cost</x:v>
      </x:c>
      <x:c r="N51" s="9" t="str">
        <x:v>S02</x:v>
      </x:c>
      <x:c r="O51" s="9" t="str">
        <x:v>E03</x:v>
      </x:c>
      <x:c r="P51" s="9" t="str">
        <x:v>Slide 19; proposal packages included</x:v>
      </x:c>
      <x:c r="Q51" s="9" t="str">
        <x:v>https://www.oregon.gov/odhs/about/legislativeinformation/2025-wm-oep.pdf</x:v>
      </x:c>
    </x:row>
    <x:row r="52" ht="72" customHeight="1">
      <x:c r="A52" s="10" t="str">
        <x:v>S12</x:v>
      </x:c>
      <x:c r="B52" s="10" t="str">
        <x:v>PR-OR-OEP</x:v>
      </x:c>
      <x:c r="C52" s="10" t="str">
        <x:v>OEP adopted total</x:v>
      </x:c>
      <x:c r="D52" s="13" t="n">
        <x:v>975397783</x:v>
      </x:c>
      <x:c r="E52" s="11" t="str">
        <x:v>USD</x:v>
      </x:c>
      <x:c r="F52" s="11" t="n">
        <x:v>1</x:v>
      </x:c>
      <x:c r="G52" s="15" t="n">
        <x:f>D52*F52</x:f>
        <x:v>975397783</x:v>
      </x:c>
      <x:c r="H52" s="10" t="str">
        <x:v>OR biennium 2025–27</x:v>
      </x:c>
      <x:c r="I52" s="10" t="str">
        <x:v>BDV104 2025-09-25</x:v>
      </x:c>
      <x:c r="J52" s="10" t="str">
        <x:v>Legislatively adopted</x:v>
      </x:c>
      <x:c r="K52" s="10" t="str">
        <x:v>Budget / workload as labeled</x:v>
      </x:c>
      <x:c r="L52" s="10" t="str">
        <x:v>OEP same cross-reference; financial authorizations not spending</x:v>
      </x:c>
      <x:c r="M52" s="10" t="str">
        <x:v>OR25-adopted</x:v>
      </x:c>
      <x:c r="N52" s="10" t="str"/>
      <x:c r="O52" s="10" t="str">
        <x:v>E04</x:v>
      </x:c>
      <x:c r="P52" s="10" t="str">
        <x:v>PDF p.117; BDV104 p.60, total</x:v>
      </x:c>
      <x:c r="Q52" s="10" t="str">
        <x:v>https://www.oregon.gov/odhs/about/budget/2025-2027-lab.pdf</x:v>
      </x:c>
    </x:row>
    <x:row r="53" ht="72" customHeight="1">
      <x:c r="A53" s="9" t="str">
        <x:v>S13</x:v>
      </x:c>
      <x:c r="B53" s="9" t="str">
        <x:v>PR-OR-OEP</x:v>
      </x:c>
      <x:c r="C53" s="9" t="str">
        <x:v>OEP adopted General Fund</x:v>
      </x:c>
      <x:c r="D53" s="14" t="n">
        <x:v>438376111</x:v>
      </x:c>
      <x:c r="E53" s="12" t="str">
        <x:v>USD</x:v>
      </x:c>
      <x:c r="F53" s="12" t="n">
        <x:v>1</x:v>
      </x:c>
      <x:c r="G53" s="16" t="n">
        <x:f>D53*F53</x:f>
        <x:v>438376111</x:v>
      </x:c>
      <x:c r="H53" s="9" t="str">
        <x:v>OR biennium 2025–27</x:v>
      </x:c>
      <x:c r="I53" s="9" t="str">
        <x:v>BDV104 2025-09-25</x:v>
      </x:c>
      <x:c r="J53" s="9" t="str">
        <x:v>Legislatively adopted</x:v>
      </x:c>
      <x:c r="K53" s="9" t="str">
        <x:v>Budget / workload as labeled</x:v>
      </x:c>
      <x:c r="L53" s="9" t="str">
        <x:v>OEP same cross-reference; financial authorizations not spending</x:v>
      </x:c>
      <x:c r="M53" s="9" t="str">
        <x:v>OR25-adopted</x:v>
      </x:c>
      <x:c r="N53" s="9" t="str">
        <x:v>S12</x:v>
      </x:c>
      <x:c r="O53" s="9" t="str">
        <x:v>E04</x:v>
      </x:c>
      <x:c r="P53" s="9" t="str">
        <x:v>PDF p.117; BDV104 p.60, total</x:v>
      </x:c>
      <x:c r="Q53" s="9" t="str">
        <x:v>https://www.oregon.gov/odhs/about/budget/2025-2027-lab.pdf</x:v>
      </x:c>
    </x:row>
    <x:row r="54" ht="72" customHeight="1">
      <x:c r="A54" s="10" t="str">
        <x:v>S14</x:v>
      </x:c>
      <x:c r="B54" s="10" t="str">
        <x:v>PR-OR-OEP</x:v>
      </x:c>
      <x:c r="C54" s="10" t="str">
        <x:v>OEP adopted Other Funds</x:v>
      </x:c>
      <x:c r="D54" s="13" t="n">
        <x:v>12302457</x:v>
      </x:c>
      <x:c r="E54" s="11" t="str">
        <x:v>USD</x:v>
      </x:c>
      <x:c r="F54" s="11" t="n">
        <x:v>1</x:v>
      </x:c>
      <x:c r="G54" s="15" t="n">
        <x:f>D54*F54</x:f>
        <x:v>12302457</x:v>
      </x:c>
      <x:c r="H54" s="10" t="str">
        <x:v>OR biennium 2025–27</x:v>
      </x:c>
      <x:c r="I54" s="10" t="str">
        <x:v>BDV104 2025-09-25</x:v>
      </x:c>
      <x:c r="J54" s="10" t="str">
        <x:v>Legislatively adopted</x:v>
      </x:c>
      <x:c r="K54" s="10" t="str">
        <x:v>Budget / workload as labeled</x:v>
      </x:c>
      <x:c r="L54" s="10" t="str">
        <x:v>OEP same cross-reference; financial authorizations not spending</x:v>
      </x:c>
      <x:c r="M54" s="10" t="str">
        <x:v>OR25-adopted</x:v>
      </x:c>
      <x:c r="N54" s="10" t="str">
        <x:v>S12</x:v>
      </x:c>
      <x:c r="O54" s="10" t="str">
        <x:v>E04</x:v>
      </x:c>
      <x:c r="P54" s="10" t="str">
        <x:v>PDF p.117; BDV104 p.60, total</x:v>
      </x:c>
      <x:c r="Q54" s="10" t="str">
        <x:v>https://www.oregon.gov/odhs/about/budget/2025-2027-lab.pdf</x:v>
      </x:c>
    </x:row>
    <x:row r="55" ht="72" customHeight="1">
      <x:c r="A55" s="9" t="str">
        <x:v>S15</x:v>
      </x:c>
      <x:c r="B55" s="9" t="str">
        <x:v>PR-OR-OEP</x:v>
      </x:c>
      <x:c r="C55" s="9" t="str">
        <x:v>OEP adopted Federal Funds</x:v>
      </x:c>
      <x:c r="D55" s="14" t="n">
        <x:v>524719215</x:v>
      </x:c>
      <x:c r="E55" s="12" t="str">
        <x:v>USD</x:v>
      </x:c>
      <x:c r="F55" s="12" t="n">
        <x:v>1</x:v>
      </x:c>
      <x:c r="G55" s="16" t="n">
        <x:f>D55*F55</x:f>
        <x:v>524719215</x:v>
      </x:c>
      <x:c r="H55" s="9" t="str">
        <x:v>OR biennium 2025–27</x:v>
      </x:c>
      <x:c r="I55" s="9" t="str">
        <x:v>BDV104 2025-09-25</x:v>
      </x:c>
      <x:c r="J55" s="9" t="str">
        <x:v>Legislatively adopted</x:v>
      </x:c>
      <x:c r="K55" s="9" t="str">
        <x:v>Budget / workload as labeled</x:v>
      </x:c>
      <x:c r="L55" s="9" t="str">
        <x:v>OEP same cross-reference; financial authorizations not spending</x:v>
      </x:c>
      <x:c r="M55" s="9" t="str">
        <x:v>OR25-adopted</x:v>
      </x:c>
      <x:c r="N55" s="9" t="str">
        <x:v>S12</x:v>
      </x:c>
      <x:c r="O55" s="9" t="str">
        <x:v>E04</x:v>
      </x:c>
      <x:c r="P55" s="9" t="str">
        <x:v>PDF p.117; BDV104 p.60, total</x:v>
      </x:c>
      <x:c r="Q55" s="9" t="str">
        <x:v>https://www.oregon.gov/odhs/about/budget/2025-2027-lab.pdf</x:v>
      </x:c>
    </x:row>
    <x:row r="56" ht="72" customHeight="1">
      <x:c r="A56" s="10" t="str">
        <x:v>S16</x:v>
      </x:c>
      <x:c r="B56" s="10" t="str">
        <x:v>PR-OR-OEP</x:v>
      </x:c>
      <x:c r="C56" s="10" t="str">
        <x:v>OEP adopted positions</x:v>
      </x:c>
      <x:c r="D56" s="13" t="n">
        <x:v>2616</x:v>
      </x:c>
      <x:c r="E56" s="11" t="str">
        <x:v>positions</x:v>
      </x:c>
      <x:c r="F56" s="11"/>
      <x:c r="G56" s="15"/>
      <x:c r="H56" s="10" t="str">
        <x:v>OR biennium 2025–27</x:v>
      </x:c>
      <x:c r="I56" s="10" t="str">
        <x:v>BDV104 2025-09-25</x:v>
      </x:c>
      <x:c r="J56" s="10" t="str">
        <x:v>Legislatively adopted</x:v>
      </x:c>
      <x:c r="K56" s="10" t="str">
        <x:v>Budget / workload as labeled</x:v>
      </x:c>
      <x:c r="L56" s="10" t="str">
        <x:v>OEP same cross-reference; financial authorizations not spending</x:v>
      </x:c>
      <x:c r="M56" s="10" t="str">
        <x:v>OR25-adopted</x:v>
      </x:c>
      <x:c r="N56" s="10" t="str">
        <x:v>S12</x:v>
      </x:c>
      <x:c r="O56" s="10" t="str">
        <x:v>E04</x:v>
      </x:c>
      <x:c r="P56" s="10" t="str">
        <x:v>PDF p.117; BDV104 p.60, total</x:v>
      </x:c>
      <x:c r="Q56" s="10" t="str">
        <x:v>https://www.oregon.gov/odhs/about/budget/2025-2027-lab.pdf</x:v>
      </x:c>
    </x:row>
    <x:row r="57" ht="72" customHeight="1">
      <x:c r="A57" s="9" t="str">
        <x:v>S17</x:v>
      </x:c>
      <x:c r="B57" s="9" t="str">
        <x:v>PR-OR-OEP</x:v>
      </x:c>
      <x:c r="C57" s="9" t="str">
        <x:v>OEP adopted FTE</x:v>
      </x:c>
      <x:c r="D57" s="14" t="n">
        <x:v>2612.89</x:v>
      </x:c>
      <x:c r="E57" s="12" t="str">
        <x:v>FTE</x:v>
      </x:c>
      <x:c r="F57" s="12"/>
      <x:c r="G57" s="16"/>
      <x:c r="H57" s="9" t="str">
        <x:v>OR biennium 2025–27</x:v>
      </x:c>
      <x:c r="I57" s="9" t="str">
        <x:v>BDV104 2025-09-25</x:v>
      </x:c>
      <x:c r="J57" s="9" t="str">
        <x:v>Legislatively adopted</x:v>
      </x:c>
      <x:c r="K57" s="9" t="str">
        <x:v>Budget / workload as labeled</x:v>
      </x:c>
      <x:c r="L57" s="9" t="str">
        <x:v>OEP same cross-reference; financial authorizations not spending</x:v>
      </x:c>
      <x:c r="M57" s="9" t="str">
        <x:v>OR25-adopted</x:v>
      </x:c>
      <x:c r="N57" s="9" t="str">
        <x:v>S12</x:v>
      </x:c>
      <x:c r="O57" s="9" t="str">
        <x:v>E04</x:v>
      </x:c>
      <x:c r="P57" s="9" t="str">
        <x:v>PDF p.117; BDV104 p.60, total</x:v>
      </x:c>
      <x:c r="Q57" s="9" t="str">
        <x:v>https://www.oregon.gov/odhs/about/budget/2025-2027-lab.pdf</x:v>
      </x:c>
    </x:row>
    <x:row r="58" ht="72" customHeight="1">
      <x:c r="A58" s="10" t="str">
        <x:v>S18</x:v>
      </x:c>
      <x:c r="B58" s="10" t="str">
        <x:v>PR-OR-OEP</x:v>
      </x:c>
      <x:c r="C58" s="10" t="str">
        <x:v>OEP approved total</x:v>
      </x:c>
      <x:c r="D58" s="13" t="n">
        <x:v>1064069309</x:v>
      </x:c>
      <x:c r="E58" s="11" t="str">
        <x:v>USD</x:v>
      </x:c>
      <x:c r="F58" s="11" t="n">
        <x:v>1</x:v>
      </x:c>
      <x:c r="G58" s="15" t="n">
        <x:f>D58*F58</x:f>
        <x:v>1064069309</x:v>
      </x:c>
      <x:c r="H58" s="10" t="str">
        <x:v>OR biennium 2025–27</x:v>
      </x:c>
      <x:c r="I58" s="10" t="str">
        <x:v>BDV104 2026-08-24</x:v>
      </x:c>
      <x:c r="J58" s="10" t="str">
        <x:v>Prior approved baseline in ARB</x:v>
      </x:c>
      <x:c r="K58" s="10" t="str">
        <x:v>Budget / workload as labeled</x:v>
      </x:c>
      <x:c r="L58" s="10" t="str">
        <x:v>OEP; adjustments row labeled Emergency Boards; not an actual-spending total</x:v>
      </x:c>
      <x:c r="M58" s="10" t="str">
        <x:v>OR25-approved</x:v>
      </x:c>
      <x:c r="N58" s="10" t="str"/>
      <x:c r="O58" s="10" t="str">
        <x:v>E05</x:v>
      </x:c>
      <x:c r="P58" s="10" t="str">
        <x:v>PDF p.71; BDV104 p.34, opening rows</x:v>
      </x:c>
      <x:c r="Q58" s="10" t="str">
        <x:v>https://www.oregon.gov/odhs/about/budget/2027-2029-arb-section-1.pdf</x:v>
      </x:c>
    </x:row>
    <x:row r="59" ht="72" customHeight="1">
      <x:c r="A59" s="9" t="str">
        <x:v>S19</x:v>
      </x:c>
      <x:c r="B59" s="9" t="str">
        <x:v>PR-OR-OEP</x:v>
      </x:c>
      <x:c r="C59" s="9" t="str">
        <x:v>OEP post-adoption adjustments</x:v>
      </x:c>
      <x:c r="D59" s="14" t="n">
        <x:v>88671526</x:v>
      </x:c>
      <x:c r="E59" s="12" t="str">
        <x:v>USD</x:v>
      </x:c>
      <x:c r="F59" s="12" t="n">
        <x:v>1</x:v>
      </x:c>
      <x:c r="G59" s="16" t="n">
        <x:f>D59*F59</x:f>
        <x:v>88671526</x:v>
      </x:c>
      <x:c r="H59" s="9" t="str">
        <x:v>OR biennium 2025–27</x:v>
      </x:c>
      <x:c r="I59" s="9" t="str">
        <x:v>BDV104 2026-08-24</x:v>
      </x:c>
      <x:c r="J59" s="9" t="str">
        <x:v>Prior approved baseline in ARB</x:v>
      </x:c>
      <x:c r="K59" s="9" t="str">
        <x:v>Budget / workload as labeled</x:v>
      </x:c>
      <x:c r="L59" s="9" t="str">
        <x:v>OEP; adjustments row labeled Emergency Boards; not an actual-spending total</x:v>
      </x:c>
      <x:c r="M59" s="9" t="str">
        <x:v>OR25-approved</x:v>
      </x:c>
      <x:c r="N59" s="9" t="str">
        <x:v>S18</x:v>
      </x:c>
      <x:c r="O59" s="9" t="str">
        <x:v>E05</x:v>
      </x:c>
      <x:c r="P59" s="9" t="str">
        <x:v>PDF p.71; BDV104 p.34, opening rows</x:v>
      </x:c>
      <x:c r="Q59" s="9" t="str">
        <x:v>https://www.oregon.gov/odhs/about/budget/2027-2029-arb-section-1.pdf</x:v>
      </x:c>
    </x:row>
    <x:row r="60" ht="72" customHeight="1">
      <x:c r="A60" s="10" t="str">
        <x:v>S20</x:v>
      </x:c>
      <x:c r="B60" s="10" t="str">
        <x:v>PR-OR-OEP</x:v>
      </x:c>
      <x:c r="C60" s="10" t="str">
        <x:v>OEP approved General Fund</x:v>
      </x:c>
      <x:c r="D60" s="13" t="n">
        <x:v>519343415</x:v>
      </x:c>
      <x:c r="E60" s="11" t="str">
        <x:v>USD</x:v>
      </x:c>
      <x:c r="F60" s="11" t="n">
        <x:v>1</x:v>
      </x:c>
      <x:c r="G60" s="15" t="n">
        <x:f>D60*F60</x:f>
        <x:v>519343415</x:v>
      </x:c>
      <x:c r="H60" s="10" t="str">
        <x:v>OR biennium 2025–27</x:v>
      </x:c>
      <x:c r="I60" s="10" t="str">
        <x:v>BDV104 2026-08-24</x:v>
      </x:c>
      <x:c r="J60" s="10" t="str">
        <x:v>Prior approved baseline in ARB</x:v>
      </x:c>
      <x:c r="K60" s="10" t="str">
        <x:v>Budget / workload as labeled</x:v>
      </x:c>
      <x:c r="L60" s="10" t="str">
        <x:v>OEP; adjustments row labeled Emergency Boards; not an actual-spending total</x:v>
      </x:c>
      <x:c r="M60" s="10" t="str">
        <x:v>OR25-approved</x:v>
      </x:c>
      <x:c r="N60" s="10" t="str">
        <x:v>S18</x:v>
      </x:c>
      <x:c r="O60" s="10" t="str">
        <x:v>E05</x:v>
      </x:c>
      <x:c r="P60" s="10" t="str">
        <x:v>PDF p.71; BDV104 p.34, opening rows</x:v>
      </x:c>
      <x:c r="Q60" s="10" t="str">
        <x:v>https://www.oregon.gov/odhs/about/budget/2027-2029-arb-section-1.pdf</x:v>
      </x:c>
    </x:row>
    <x:row r="61" ht="72" customHeight="1">
      <x:c r="A61" s="9" t="str">
        <x:v>S21</x:v>
      </x:c>
      <x:c r="B61" s="9" t="str">
        <x:v>PR-OR-OEP</x:v>
      </x:c>
      <x:c r="C61" s="9" t="str">
        <x:v>OEP approved Other Funds</x:v>
      </x:c>
      <x:c r="D61" s="14" t="n">
        <x:v>16854087</x:v>
      </x:c>
      <x:c r="E61" s="12" t="str">
        <x:v>USD</x:v>
      </x:c>
      <x:c r="F61" s="12" t="n">
        <x:v>1</x:v>
      </x:c>
      <x:c r="G61" s="16" t="n">
        <x:f>D61*F61</x:f>
        <x:v>16854087</x:v>
      </x:c>
      <x:c r="H61" s="9" t="str">
        <x:v>OR biennium 2025–27</x:v>
      </x:c>
      <x:c r="I61" s="9" t="str">
        <x:v>BDV104 2026-08-24</x:v>
      </x:c>
      <x:c r="J61" s="9" t="str">
        <x:v>Prior approved baseline in ARB</x:v>
      </x:c>
      <x:c r="K61" s="9" t="str">
        <x:v>Budget / workload as labeled</x:v>
      </x:c>
      <x:c r="L61" s="9" t="str">
        <x:v>OEP; adjustments row labeled Emergency Boards; not an actual-spending total</x:v>
      </x:c>
      <x:c r="M61" s="9" t="str">
        <x:v>OR25-approved</x:v>
      </x:c>
      <x:c r="N61" s="9" t="str">
        <x:v>S18</x:v>
      </x:c>
      <x:c r="O61" s="9" t="str">
        <x:v>E05</x:v>
      </x:c>
      <x:c r="P61" s="9" t="str">
        <x:v>PDF p.71; BDV104 p.34, opening rows</x:v>
      </x:c>
      <x:c r="Q61" s="9" t="str">
        <x:v>https://www.oregon.gov/odhs/about/budget/2027-2029-arb-section-1.pdf</x:v>
      </x:c>
    </x:row>
    <x:row r="62" ht="72" customHeight="1">
      <x:c r="A62" s="10" t="str">
        <x:v>S22</x:v>
      </x:c>
      <x:c r="B62" s="10" t="str">
        <x:v>PR-OR-OEP</x:v>
      </x:c>
      <x:c r="C62" s="10" t="str">
        <x:v>OEP approved Federal Funds</x:v>
      </x:c>
      <x:c r="D62" s="13" t="n">
        <x:v>527871807</x:v>
      </x:c>
      <x:c r="E62" s="11" t="str">
        <x:v>USD</x:v>
      </x:c>
      <x:c r="F62" s="11" t="n">
        <x:v>1</x:v>
      </x:c>
      <x:c r="G62" s="15" t="n">
        <x:f>D62*F62</x:f>
        <x:v>527871807</x:v>
      </x:c>
      <x:c r="H62" s="10" t="str">
        <x:v>OR biennium 2025–27</x:v>
      </x:c>
      <x:c r="I62" s="10" t="str">
        <x:v>BDV104 2026-08-24</x:v>
      </x:c>
      <x:c r="J62" s="10" t="str">
        <x:v>Prior approved baseline in ARB</x:v>
      </x:c>
      <x:c r="K62" s="10" t="str">
        <x:v>Budget / workload as labeled</x:v>
      </x:c>
      <x:c r="L62" s="10" t="str">
        <x:v>OEP; adjustments row labeled Emergency Boards; not an actual-spending total</x:v>
      </x:c>
      <x:c r="M62" s="10" t="str">
        <x:v>OR25-approved</x:v>
      </x:c>
      <x:c r="N62" s="10" t="str">
        <x:v>S18</x:v>
      </x:c>
      <x:c r="O62" s="10" t="str">
        <x:v>E05</x:v>
      </x:c>
      <x:c r="P62" s="10" t="str">
        <x:v>PDF p.71; BDV104 p.34, opening rows</x:v>
      </x:c>
      <x:c r="Q62" s="10" t="str">
        <x:v>https://www.oregon.gov/odhs/about/budget/2027-2029-arb-section-1.pdf</x:v>
      </x:c>
    </x:row>
    <x:row r="63" ht="72" customHeight="1">
      <x:c r="A63" s="9" t="str">
        <x:v>S23</x:v>
      </x:c>
      <x:c r="B63" s="9" t="str">
        <x:v>PR-OR-OEP</x:v>
      </x:c>
      <x:c r="C63" s="9" t="str">
        <x:v>OEP approved positions</x:v>
      </x:c>
      <x:c r="D63" s="14" t="n">
        <x:v>2969</x:v>
      </x:c>
      <x:c r="E63" s="12" t="str">
        <x:v>positions</x:v>
      </x:c>
      <x:c r="F63" s="12"/>
      <x:c r="G63" s="16"/>
      <x:c r="H63" s="9" t="str">
        <x:v>OR biennium 2025–27</x:v>
      </x:c>
      <x:c r="I63" s="9" t="str">
        <x:v>BDV104 2026-08-24</x:v>
      </x:c>
      <x:c r="J63" s="9" t="str">
        <x:v>Prior approved baseline in ARB</x:v>
      </x:c>
      <x:c r="K63" s="9" t="str">
        <x:v>Budget / workload as labeled</x:v>
      </x:c>
      <x:c r="L63" s="9" t="str">
        <x:v>OEP; adjustments row labeled Emergency Boards; not an actual-spending total</x:v>
      </x:c>
      <x:c r="M63" s="9" t="str">
        <x:v>OR25-approved</x:v>
      </x:c>
      <x:c r="N63" s="9" t="str">
        <x:v>S18</x:v>
      </x:c>
      <x:c r="O63" s="9" t="str">
        <x:v>E05</x:v>
      </x:c>
      <x:c r="P63" s="9" t="str">
        <x:v>PDF p.71; BDV104 p.34, opening rows</x:v>
      </x:c>
      <x:c r="Q63" s="9" t="str">
        <x:v>https://www.oregon.gov/odhs/about/budget/2027-2029-arb-section-1.pdf</x:v>
      </x:c>
    </x:row>
    <x:row r="64" ht="72" customHeight="1">
      <x:c r="A64" s="10" t="str">
        <x:v>S24</x:v>
      </x:c>
      <x:c r="B64" s="10" t="str">
        <x:v>PR-OR-OEP</x:v>
      </x:c>
      <x:c r="C64" s="10" t="str">
        <x:v>OEP approved FTE</x:v>
      </x:c>
      <x:c r="D64" s="13" t="n">
        <x:v>2773.81</x:v>
      </x:c>
      <x:c r="E64" s="11" t="str">
        <x:v>FTE</x:v>
      </x:c>
      <x:c r="F64" s="11"/>
      <x:c r="G64" s="15"/>
      <x:c r="H64" s="10" t="str">
        <x:v>OR biennium 2025–27</x:v>
      </x:c>
      <x:c r="I64" s="10" t="str">
        <x:v>BDV104 2026-08-24</x:v>
      </x:c>
      <x:c r="J64" s="10" t="str">
        <x:v>Prior approved baseline in ARB</x:v>
      </x:c>
      <x:c r="K64" s="10" t="str">
        <x:v>Budget / workload as labeled</x:v>
      </x:c>
      <x:c r="L64" s="10" t="str">
        <x:v>OEP; adjustments row labeled Emergency Boards; not an actual-spending total</x:v>
      </x:c>
      <x:c r="M64" s="10" t="str">
        <x:v>OR25-approved</x:v>
      </x:c>
      <x:c r="N64" s="10" t="str">
        <x:v>S18</x:v>
      </x:c>
      <x:c r="O64" s="10" t="str">
        <x:v>E05</x:v>
      </x:c>
      <x:c r="P64" s="10" t="str">
        <x:v>PDF p.71; BDV104 p.34, opening rows</x:v>
      </x:c>
      <x:c r="Q64" s="10" t="str">
        <x:v>https://www.oregon.gov/odhs/about/budget/2027-2029-arb-section-1.pdf</x:v>
      </x:c>
    </x:row>
    <x:row r="65" ht="72" customHeight="1">
      <x:c r="A65" s="9" t="str">
        <x:v>S25</x:v>
      </x:c>
      <x:c r="B65" s="9" t="str">
        <x:v>PR-OR-OEP</x:v>
      </x:c>
      <x:c r="C65" s="9" t="str">
        <x:v>OEP agency request total</x:v>
      </x:c>
      <x:c r="D65" s="14" t="n">
        <x:v>4708816490</x:v>
      </x:c>
      <x:c r="E65" s="12" t="str">
        <x:v>USD</x:v>
      </x:c>
      <x:c r="F65" s="12" t="n">
        <x:v>1</x:v>
      </x:c>
      <x:c r="G65" s="16" t="n">
        <x:f>D65*F65</x:f>
        <x:v>4708816490</x:v>
      </x:c>
      <x:c r="H65" s="9" t="str">
        <x:v>OR biennium 2027–29</x:v>
      </x:c>
      <x:c r="I65" s="9" t="str">
        <x:v>BDV104 2026-08-24</x:v>
      </x:c>
      <x:c r="J65" s="9" t="str">
        <x:v>Agency request</x:v>
      </x:c>
      <x:c r="K65" s="9" t="str">
        <x:v>Budget / workload as labeled</x:v>
      </x:c>
      <x:c r="L65" s="9" t="str">
        <x:v>SNAP moves from SSP to OEP; total not administrative-only</x:v>
      </x:c>
      <x:c r="M65" s="9" t="str">
        <x:v>OR27-request</x:v>
      </x:c>
      <x:c r="N65" s="9" t="str"/>
      <x:c r="O65" s="9" t="str">
        <x:v>E05</x:v>
      </x:c>
      <x:c r="P65" s="9" t="str">
        <x:v>PDF pp.71–73; BDV104 pp.34–36</x:v>
      </x:c>
      <x:c r="Q65" s="9" t="str">
        <x:v>https://www.oregon.gov/odhs/about/budget/2027-2029-arb-section-1.pdf</x:v>
      </x:c>
    </x:row>
    <x:row r="66" ht="72" customHeight="1">
      <x:c r="A66" s="10" t="str">
        <x:v>S26</x:v>
      </x:c>
      <x:c r="B66" s="10" t="str">
        <x:v>PR-OR-OEP</x:v>
      </x:c>
      <x:c r="C66" s="10" t="str">
        <x:v>Nonlimited federal SNAP scope addition</x:v>
      </x:c>
      <x:c r="D66" s="13" t="n">
        <x:v>3381868127</x:v>
      </x:c>
      <x:c r="E66" s="11" t="str">
        <x:v>USD</x:v>
      </x:c>
      <x:c r="F66" s="11" t="n">
        <x:v>1</x:v>
      </x:c>
      <x:c r="G66" s="15" t="n">
        <x:f>D66*F66</x:f>
        <x:v>3381868127</x:v>
      </x:c>
      <x:c r="H66" s="10" t="str">
        <x:v>OR biennium 2027–29</x:v>
      </x:c>
      <x:c r="I66" s="10" t="str">
        <x:v>BDV104 2026-08-24</x:v>
      </x:c>
      <x:c r="J66" s="10" t="str">
        <x:v>Agency request</x:v>
      </x:c>
      <x:c r="K66" s="10" t="str">
        <x:v>Budget / workload as labeled</x:v>
      </x:c>
      <x:c r="L66" s="10" t="str">
        <x:v>SNAP moves from SSP to OEP; total not administrative-only</x:v>
      </x:c>
      <x:c r="M66" s="10" t="str">
        <x:v>OR27-request</x:v>
      </x:c>
      <x:c r="N66" s="10" t="str">
        <x:v>S25</x:v>
      </x:c>
      <x:c r="O66" s="10" t="str">
        <x:v>E05</x:v>
      </x:c>
      <x:c r="P66" s="10" t="str">
        <x:v>PDF pp.71–73; BDV104 pp.34–36</x:v>
      </x:c>
      <x:c r="Q66" s="10" t="str">
        <x:v>https://www.oregon.gov/odhs/about/budget/2027-2029-arb-section-1.pdf</x:v>
      </x:c>
    </x:row>
    <x:row r="67" ht="72" customHeight="1">
      <x:c r="A67" s="9" t="str">
        <x:v>S27</x:v>
      </x:c>
      <x:c r="B67" s="9" t="str">
        <x:v>PR-OR-OEP</x:v>
      </x:c>
      <x:c r="C67" s="9" t="str">
        <x:v>OEP request General Fund</x:v>
      </x:c>
      <x:c r="D67" s="14" t="n">
        <x:v>696107970</x:v>
      </x:c>
      <x:c r="E67" s="12" t="str">
        <x:v>USD</x:v>
      </x:c>
      <x:c r="F67" s="12" t="n">
        <x:v>1</x:v>
      </x:c>
      <x:c r="G67" s="16" t="n">
        <x:f>D67*F67</x:f>
        <x:v>696107970</x:v>
      </x:c>
      <x:c r="H67" s="9" t="str">
        <x:v>OR biennium 2027–29</x:v>
      </x:c>
      <x:c r="I67" s="9" t="str">
        <x:v>BDV104 2026-08-24</x:v>
      </x:c>
      <x:c r="J67" s="9" t="str">
        <x:v>Agency request</x:v>
      </x:c>
      <x:c r="K67" s="9" t="str">
        <x:v>Budget / workload as labeled</x:v>
      </x:c>
      <x:c r="L67" s="9" t="str">
        <x:v>SNAP moves from SSP to OEP; total not administrative-only</x:v>
      </x:c>
      <x:c r="M67" s="9" t="str">
        <x:v>OR27-request</x:v>
      </x:c>
      <x:c r="N67" s="9" t="str">
        <x:v>S25</x:v>
      </x:c>
      <x:c r="O67" s="9" t="str">
        <x:v>E05</x:v>
      </x:c>
      <x:c r="P67" s="9" t="str">
        <x:v>PDF pp.71–73; BDV104 pp.34–36</x:v>
      </x:c>
      <x:c r="Q67" s="9" t="str">
        <x:v>https://www.oregon.gov/odhs/about/budget/2027-2029-arb-section-1.pdf</x:v>
      </x:c>
    </x:row>
    <x:row r="68" ht="72" customHeight="1">
      <x:c r="A68" s="10" t="str">
        <x:v>S28</x:v>
      </x:c>
      <x:c r="B68" s="10" t="str">
        <x:v>PR-OR-OEP</x:v>
      </x:c>
      <x:c r="C68" s="10" t="str">
        <x:v>OEP request Other Funds</x:v>
      </x:c>
      <x:c r="D68" s="13" t="n">
        <x:v>8780972</x:v>
      </x:c>
      <x:c r="E68" s="11" t="str">
        <x:v>USD</x:v>
      </x:c>
      <x:c r="F68" s="11" t="n">
        <x:v>1</x:v>
      </x:c>
      <x:c r="G68" s="15" t="n">
        <x:f>D68*F68</x:f>
        <x:v>8780972</x:v>
      </x:c>
      <x:c r="H68" s="10" t="str">
        <x:v>OR biennium 2027–29</x:v>
      </x:c>
      <x:c r="I68" s="10" t="str">
        <x:v>BDV104 2026-08-24</x:v>
      </x:c>
      <x:c r="J68" s="10" t="str">
        <x:v>Agency request</x:v>
      </x:c>
      <x:c r="K68" s="10" t="str">
        <x:v>Budget / workload as labeled</x:v>
      </x:c>
      <x:c r="L68" s="10" t="str">
        <x:v>SNAP moves from SSP to OEP; total not administrative-only</x:v>
      </x:c>
      <x:c r="M68" s="10" t="str">
        <x:v>OR27-request</x:v>
      </x:c>
      <x:c r="N68" s="10" t="str">
        <x:v>S25</x:v>
      </x:c>
      <x:c r="O68" s="10" t="str">
        <x:v>E05</x:v>
      </x:c>
      <x:c r="P68" s="10" t="str">
        <x:v>PDF pp.71–73; BDV104 pp.34–36</x:v>
      </x:c>
      <x:c r="Q68" s="10" t="str">
        <x:v>https://www.oregon.gov/odhs/about/budget/2027-2029-arb-section-1.pdf</x:v>
      </x:c>
    </x:row>
    <x:row r="69" ht="72" customHeight="1">
      <x:c r="A69" s="9" t="str">
        <x:v>S29</x:v>
      </x:c>
      <x:c r="B69" s="9" t="str">
        <x:v>PR-OR-OEP</x:v>
      </x:c>
      <x:c r="C69" s="9" t="str">
        <x:v>OEP request limited Federal Funds</x:v>
      </x:c>
      <x:c r="D69" s="14" t="n">
        <x:v>622059421</x:v>
      </x:c>
      <x:c r="E69" s="12" t="str">
        <x:v>USD</x:v>
      </x:c>
      <x:c r="F69" s="12" t="n">
        <x:v>1</x:v>
      </x:c>
      <x:c r="G69" s="16" t="n">
        <x:f>D69*F69</x:f>
        <x:v>622059421</x:v>
      </x:c>
      <x:c r="H69" s="9" t="str">
        <x:v>OR biennium 2027–29</x:v>
      </x:c>
      <x:c r="I69" s="9" t="str">
        <x:v>BDV104 2026-08-24</x:v>
      </x:c>
      <x:c r="J69" s="9" t="str">
        <x:v>Agency request</x:v>
      </x:c>
      <x:c r="K69" s="9" t="str">
        <x:v>Budget / workload as labeled</x:v>
      </x:c>
      <x:c r="L69" s="9" t="str">
        <x:v>SNAP moves from SSP to OEP; total not administrative-only</x:v>
      </x:c>
      <x:c r="M69" s="9" t="str">
        <x:v>OR27-request</x:v>
      </x:c>
      <x:c r="N69" s="9" t="str">
        <x:v>S25</x:v>
      </x:c>
      <x:c r="O69" s="9" t="str">
        <x:v>E05</x:v>
      </x:c>
      <x:c r="P69" s="9" t="str">
        <x:v>PDF pp.71–73; BDV104 pp.34–36</x:v>
      </x:c>
      <x:c r="Q69" s="9" t="str">
        <x:v>https://www.oregon.gov/odhs/about/budget/2027-2029-arb-section-1.pdf</x:v>
      </x:c>
    </x:row>
    <x:row r="70" ht="72" customHeight="1">
      <x:c r="A70" s="10" t="str">
        <x:v>S30</x:v>
      </x:c>
      <x:c r="B70" s="10" t="str">
        <x:v>PR-OR-OEP</x:v>
      </x:c>
      <x:c r="C70" s="10" t="str">
        <x:v>OEP request positions</x:v>
      </x:c>
      <x:c r="D70" s="13" t="n">
        <x:v>3030</x:v>
      </x:c>
      <x:c r="E70" s="11" t="str">
        <x:v>positions</x:v>
      </x:c>
      <x:c r="F70" s="11"/>
      <x:c r="G70" s="15"/>
      <x:c r="H70" s="10" t="str">
        <x:v>OR biennium 2027–29</x:v>
      </x:c>
      <x:c r="I70" s="10" t="str">
        <x:v>BDV104 2026-08-24</x:v>
      </x:c>
      <x:c r="J70" s="10" t="str">
        <x:v>Agency request</x:v>
      </x:c>
      <x:c r="K70" s="10" t="str">
        <x:v>Budget / workload as labeled</x:v>
      </x:c>
      <x:c r="L70" s="10" t="str">
        <x:v>SNAP moves from SSP to OEP; total not administrative-only</x:v>
      </x:c>
      <x:c r="M70" s="10" t="str">
        <x:v>OR27-request</x:v>
      </x:c>
      <x:c r="N70" s="10" t="str">
        <x:v>S25</x:v>
      </x:c>
      <x:c r="O70" s="10" t="str">
        <x:v>E05</x:v>
      </x:c>
      <x:c r="P70" s="10" t="str">
        <x:v>PDF pp.71–73; BDV104 pp.34–36</x:v>
      </x:c>
      <x:c r="Q70" s="10" t="str">
        <x:v>https://www.oregon.gov/odhs/about/budget/2027-2029-arb-section-1.pdf</x:v>
      </x:c>
    </x:row>
    <x:row r="71" ht="72" customHeight="1">
      <x:c r="A71" s="9" t="str">
        <x:v>S31</x:v>
      </x:c>
      <x:c r="B71" s="9" t="str">
        <x:v>PR-OR-OEP</x:v>
      </x:c>
      <x:c r="C71" s="9" t="str">
        <x:v>OEP request FTE</x:v>
      </x:c>
      <x:c r="D71" s="14" t="n">
        <x:v>3028.1</x:v>
      </x:c>
      <x:c r="E71" s="12" t="str">
        <x:v>FTE</x:v>
      </x:c>
      <x:c r="F71" s="12"/>
      <x:c r="G71" s="16"/>
      <x:c r="H71" s="9" t="str">
        <x:v>OR biennium 2027–29</x:v>
      </x:c>
      <x:c r="I71" s="9" t="str">
        <x:v>BDV104 2026-08-24</x:v>
      </x:c>
      <x:c r="J71" s="9" t="str">
        <x:v>Agency request</x:v>
      </x:c>
      <x:c r="K71" s="9" t="str">
        <x:v>Budget / workload as labeled</x:v>
      </x:c>
      <x:c r="L71" s="9" t="str">
        <x:v>SNAP moves from SSP to OEP; total not administrative-only</x:v>
      </x:c>
      <x:c r="M71" s="9" t="str">
        <x:v>OR27-request</x:v>
      </x:c>
      <x:c r="N71" s="9" t="str">
        <x:v>S25</x:v>
      </x:c>
      <x:c r="O71" s="9" t="str">
        <x:v>E05</x:v>
      </x:c>
      <x:c r="P71" s="9" t="str">
        <x:v>PDF pp.71–73; BDV104 pp.34–36</x:v>
      </x:c>
      <x:c r="Q71" s="9" t="str">
        <x:v>https://www.oregon.gov/odhs/about/budget/2027-2029-arb-section-1.pdf</x:v>
      </x:c>
    </x:row>
    <x:row r="72" ht="72" customHeight="1">
      <x:c r="A72" s="10" t="str">
        <x:v>S32</x:v>
      </x:c>
      <x:c r="B72" s="10" t="str">
        <x:v>PR-OR-OEP</x:v>
      </x:c>
      <x:c r="C72" s="10" t="str">
        <x:v>Net cost of position actions</x:v>
      </x:c>
      <x:c r="D72" s="13" t="n">
        <x:v>101040306</x:v>
      </x:c>
      <x:c r="E72" s="11" t="str">
        <x:v>USD</x:v>
      </x:c>
      <x:c r="F72" s="11" t="n">
        <x:v>1</x:v>
      </x:c>
      <x:c r="G72" s="15" t="n">
        <x:f>D72*F72</x:f>
        <x:v>101040306</x:v>
      </x:c>
      <x:c r="H72" s="10" t="str">
        <x:v>OR biennium 2027–29</x:v>
      </x:c>
      <x:c r="I72" s="10" t="str">
        <x:v>BDV104 2026-08-24</x:v>
      </x:c>
      <x:c r="J72" s="10" t="str">
        <x:v>Agency request</x:v>
      </x:c>
      <x:c r="K72" s="10" t="str">
        <x:v>Budget / workload as labeled</x:v>
      </x:c>
      <x:c r="L72" s="10" t="str">
        <x:v>Published bridge, with transfers and classification changes</x:v>
      </x:c>
      <x:c r="M72" s="10" t="str">
        <x:v>OR27-bridge-step</x:v>
      </x:c>
      <x:c r="N72" s="10" t="str"/>
      <x:c r="O72" s="10" t="str">
        <x:v>E05</x:v>
      </x:c>
      <x:c r="P72" s="10" t="str">
        <x:v>PDF pp.71–72; BDV104 pp.34–35</x:v>
      </x:c>
      <x:c r="Q72" s="10" t="str">
        <x:v>https://www.oregon.gov/odhs/about/budget/2027-2029-arb-section-1.pdf</x:v>
      </x:c>
    </x:row>
    <x:row r="73" ht="72" customHeight="1">
      <x:c r="A73" s="9" t="str">
        <x:v>S33</x:v>
      </x:c>
      <x:c r="B73" s="9" t="str">
        <x:v>PR-OR-OEP</x:v>
      </x:c>
      <x:c r="C73" s="9" t="str">
        <x:v>Non-PICS / vacancy package subtotal</x:v>
      </x:c>
      <x:c r="D73" s="14" t="n">
        <x:v>-5593005</x:v>
      </x:c>
      <x:c r="E73" s="12" t="str">
        <x:v>USD</x:v>
      </x:c>
      <x:c r="F73" s="12" t="n">
        <x:v>1</x:v>
      </x:c>
      <x:c r="G73" s="16" t="n">
        <x:f>D73*F73</x:f>
        <x:v>-5593005</x:v>
      </x:c>
      <x:c r="H73" s="9" t="str">
        <x:v>OR biennium 2027–29</x:v>
      </x:c>
      <x:c r="I73" s="9" t="str">
        <x:v>BDV104 2026-08-24</x:v>
      </x:c>
      <x:c r="J73" s="9" t="str">
        <x:v>Agency request</x:v>
      </x:c>
      <x:c r="K73" s="9" t="str">
        <x:v>Budget / workload as labeled</x:v>
      </x:c>
      <x:c r="L73" s="9" t="str">
        <x:v>Published bridge, with transfers and classification changes</x:v>
      </x:c>
      <x:c r="M73" s="9" t="str">
        <x:v>OR27-bridge-step</x:v>
      </x:c>
      <x:c r="N73" s="9" t="str"/>
      <x:c r="O73" s="9" t="str">
        <x:v>E05</x:v>
      </x:c>
      <x:c r="P73" s="9" t="str">
        <x:v>PDF pp.71–72; BDV104 pp.34–35</x:v>
      </x:c>
      <x:c r="Q73" s="9" t="str">
        <x:v>https://www.oregon.gov/odhs/about/budget/2027-2029-arb-section-1.pdf</x:v>
      </x:c>
    </x:row>
    <x:row r="74" ht="72" customHeight="1">
      <x:c r="A74" s="10" t="str">
        <x:v>S34</x:v>
      </x:c>
      <x:c r="B74" s="10" t="str">
        <x:v>PR-OR-OEP</x:v>
      </x:c>
      <x:c r="C74" s="10" t="str">
        <x:v>Phase-in/out package subtotal</x:v>
      </x:c>
      <x:c r="D74" s="13" t="n">
        <x:v>-55143023</x:v>
      </x:c>
      <x:c r="E74" s="11" t="str">
        <x:v>USD</x:v>
      </x:c>
      <x:c r="F74" s="11" t="n">
        <x:v>1</x:v>
      </x:c>
      <x:c r="G74" s="15" t="n">
        <x:f>D74*F74</x:f>
        <x:v>-55143023</x:v>
      </x:c>
      <x:c r="H74" s="10" t="str">
        <x:v>OR biennium 2027–29</x:v>
      </x:c>
      <x:c r="I74" s="10" t="str">
        <x:v>BDV104 2026-08-24</x:v>
      </x:c>
      <x:c r="J74" s="10" t="str">
        <x:v>Agency request</x:v>
      </x:c>
      <x:c r="K74" s="10" t="str">
        <x:v>Budget / workload as labeled</x:v>
      </x:c>
      <x:c r="L74" s="10" t="str">
        <x:v>Published bridge, with transfers and classification changes</x:v>
      </x:c>
      <x:c r="M74" s="10" t="str">
        <x:v>OR27-bridge-step</x:v>
      </x:c>
      <x:c r="N74" s="10" t="str"/>
      <x:c r="O74" s="10" t="str">
        <x:v>E05</x:v>
      </x:c>
      <x:c r="P74" s="10" t="str">
        <x:v>PDF pp.71–72; BDV104 pp.34–35</x:v>
      </x:c>
      <x:c r="Q74" s="10" t="str">
        <x:v>https://www.oregon.gov/odhs/about/budget/2027-2029-arb-section-1.pdf</x:v>
      </x:c>
    </x:row>
    <x:row r="75" ht="72" customHeight="1">
      <x:c r="A75" s="9" t="str">
        <x:v>S35</x:v>
      </x:c>
      <x:c r="B75" s="9" t="str">
        <x:v>PR-OR-OEP</x:v>
      </x:c>
      <x:c r="C75" s="9" t="str">
        <x:v>Inflation / price adjustments</x:v>
      </x:c>
      <x:c r="D75" s="14" t="n">
        <x:v>26809452</x:v>
      </x:c>
      <x:c r="E75" s="12" t="str">
        <x:v>USD</x:v>
      </x:c>
      <x:c r="F75" s="12" t="n">
        <x:v>1</x:v>
      </x:c>
      <x:c r="G75" s="16" t="n">
        <x:f>D75*F75</x:f>
        <x:v>26809452</x:v>
      </x:c>
      <x:c r="H75" s="9" t="str">
        <x:v>OR biennium 2027–29</x:v>
      </x:c>
      <x:c r="I75" s="9" t="str">
        <x:v>BDV104 2026-08-24</x:v>
      </x:c>
      <x:c r="J75" s="9" t="str">
        <x:v>Agency request</x:v>
      </x:c>
      <x:c r="K75" s="9" t="str">
        <x:v>Budget / workload as labeled</x:v>
      </x:c>
      <x:c r="L75" s="9" t="str">
        <x:v>Published bridge, with transfers and classification changes</x:v>
      </x:c>
      <x:c r="M75" s="9" t="str">
        <x:v>OR27-bridge-step</x:v>
      </x:c>
      <x:c r="N75" s="9" t="str"/>
      <x:c r="O75" s="9" t="str">
        <x:v>E05</x:v>
      </x:c>
      <x:c r="P75" s="9" t="str">
        <x:v>PDF pp.71–72; BDV104 pp.34–35</x:v>
      </x:c>
      <x:c r="Q75" s="9" t="str">
        <x:v>https://www.oregon.gov/odhs/about/budget/2027-2029-arb-section-1.pdf</x:v>
      </x:c>
    </x:row>
    <x:row r="76" ht="72" customHeight="1">
      <x:c r="A76" s="10" t="str">
        <x:v>S36</x:v>
      </x:c>
      <x:c r="B76" s="10" t="str">
        <x:v>PR-OR-OEP</x:v>
      </x:c>
      <x:c r="C76" s="10" t="str">
        <x:v>Technical adjustments</x:v>
      </x:c>
      <x:c r="D76" s="13" t="n">
        <x:v>195765324</x:v>
      </x:c>
      <x:c r="E76" s="11" t="str">
        <x:v>USD</x:v>
      </x:c>
      <x:c r="F76" s="11" t="n">
        <x:v>1</x:v>
      </x:c>
      <x:c r="G76" s="15" t="n">
        <x:f>D76*F76</x:f>
        <x:v>195765324</x:v>
      </x:c>
      <x:c r="H76" s="10" t="str">
        <x:v>OR biennium 2027–29</x:v>
      </x:c>
      <x:c r="I76" s="10" t="str">
        <x:v>BDV104 2026-08-24</x:v>
      </x:c>
      <x:c r="J76" s="10" t="str">
        <x:v>Agency request</x:v>
      </x:c>
      <x:c r="K76" s="10" t="str">
        <x:v>Budget / workload as labeled</x:v>
      </x:c>
      <x:c r="L76" s="10" t="str">
        <x:v>Published bridge, with transfers and classification changes</x:v>
      </x:c>
      <x:c r="M76" s="10" t="str">
        <x:v>OR27-bridge-step</x:v>
      </x:c>
      <x:c r="N76" s="10" t="str"/>
      <x:c r="O76" s="10" t="str">
        <x:v>E05</x:v>
      </x:c>
      <x:c r="P76" s="10" t="str">
        <x:v>PDF pp.71–72; BDV104 pp.34–35</x:v>
      </x:c>
      <x:c r="Q76" s="10" t="str">
        <x:v>https://www.oregon.gov/odhs/about/budget/2027-2029-arb-section-1.pdf</x:v>
      </x:c>
    </x:row>
    <x:row r="77" ht="72" customHeight="1">
      <x:c r="A77" s="9" t="str">
        <x:v>S37</x:v>
      </x:c>
      <x:c r="B77" s="9" t="str">
        <x:v>PR-OR-OEP</x:v>
      </x:c>
      <x:c r="C77" s="9" t="str">
        <x:v>HR1 implementation GF addition</x:v>
      </x:c>
      <x:c r="D77" s="14" t="n">
        <x:v>111</x:v>
      </x:c>
      <x:c r="E77" s="12" t="str">
        <x:v>USD million</x:v>
      </x:c>
      <x:c r="F77" s="12" t="n">
        <x:v>1000000</x:v>
      </x:c>
      <x:c r="G77" s="16" t="n">
        <x:f>D77*F77</x:f>
        <x:v>111000000</x:v>
      </x:c>
      <x:c r="H77" s="9" t="str">
        <x:v>OR biennium 2025–27</x:v>
      </x:c>
      <x:c r="I77" s="9" t="str">
        <x:v>2026 session summary</x:v>
      </x:c>
      <x:c r="J77" s="9" t="str">
        <x:v>Agency report of enacted change</x:v>
      </x:c>
      <x:c r="K77" s="9" t="str">
        <x:v>Budget / workload as labeled</x:v>
      </x:c>
      <x:c r="L77" s="9" t="str">
        <x:v>ODHS-wide Medicaid and SNAP; not solely OEP</x:v>
      </x:c>
      <x:c r="M77" s="9" t="str">
        <x:v>OR-HR1-wide</x:v>
      </x:c>
      <x:c r="N77" s="9" t="str"/>
      <x:c r="O77" s="9" t="str">
        <x:v>E07</x:v>
      </x:c>
      <x:c r="P77" s="9" t="str">
        <x:v>Printed p.5</x:v>
      </x:c>
      <x:c r="Q77" s="9" t="str">
        <x:v>https://www.oregon.gov/odhs/about/legislativeinformation/2026-end-of-session-report.pdf</x:v>
      </x:c>
    </x:row>
    <x:row r="78" ht="72" customHeight="1">
      <x:c r="A78" s="10" t="str">
        <x:v>S38</x:v>
      </x:c>
      <x:c r="B78" s="10" t="str">
        <x:v>PR-OR-OEP</x:v>
      </x:c>
      <x:c r="C78" s="10" t="str">
        <x:v>HR1 positions addition</x:v>
      </x:c>
      <x:c r="D78" s="13" t="n">
        <x:v>392</x:v>
      </x:c>
      <x:c r="E78" s="11" t="str">
        <x:v>positions</x:v>
      </x:c>
      <x:c r="F78" s="11"/>
      <x:c r="G78" s="15"/>
      <x:c r="H78" s="10" t="str">
        <x:v>OR biennium 2025–27</x:v>
      </x:c>
      <x:c r="I78" s="10" t="str">
        <x:v>2026 session summary</x:v>
      </x:c>
      <x:c r="J78" s="10" t="str">
        <x:v>Agency report of enacted change</x:v>
      </x:c>
      <x:c r="K78" s="10" t="str">
        <x:v>Budget / workload as labeled</x:v>
      </x:c>
      <x:c r="L78" s="10" t="str">
        <x:v>ODHS-wide; not filled headcount or FTE</x:v>
      </x:c>
      <x:c r="M78" s="10" t="str">
        <x:v>OR-HR1-wide</x:v>
      </x:c>
      <x:c r="N78" s="10" t="str"/>
      <x:c r="O78" s="10" t="str">
        <x:v>E07</x:v>
      </x:c>
      <x:c r="P78" s="10" t="str">
        <x:v>Printed p.5</x:v>
      </x:c>
      <x:c r="Q78" s="10" t="str">
        <x:v>https://www.oregon.gov/odhs/about/legislativeinformation/2026-end-of-session-report.pdf</x:v>
      </x:c>
    </x:row>
    <x:row r="79" ht="72" customHeight="1">
      <x:c r="A79" s="9" t="str">
        <x:v>S39</x:v>
      </x:c>
      <x:c r="B79" s="9" t="str">
        <x:v>PR-OR-OEP</x:v>
      </x:c>
      <x:c r="C79" s="9" t="str">
        <x:v>Tasks processed</x:v>
      </x:c>
      <x:c r="D79" s="14" t="n">
        <x:v>2000000</x:v>
      </x:c>
      <x:c r="E79" s="12" t="str">
        <x:v>tasks</x:v>
      </x:c>
      <x:c r="F79" s="12"/>
      <x:c r="G79" s="16"/>
      <x:c r="H79" s="9" t="str">
        <x:v>Calendar 2025</x:v>
      </x:c>
      <x:c r="I79" s="9" t="str">
        <x:v>2026-02-16</x:v>
      </x:c>
      <x:c r="J79" s="9" t="str">
        <x:v>Agency-reported output</x:v>
      </x:c>
      <x:c r="K79" s="9" t="str">
        <x:v>Budget / workload as labeled</x:v>
      </x:c>
      <x:c r="L79" s="9" t="str">
        <x:v>All programs; do not treat tasks as distinct beneficiaries</x:v>
      </x:c>
      <x:c r="M79" s="9" t="str">
        <x:v>OR-workload</x:v>
      </x:c>
      <x:c r="N79" s="9" t="str"/>
      <x:c r="O79" s="9" t="str">
        <x:v>E06</x:v>
      </x:c>
      <x:c r="P79" s="9" t="str">
        <x:v>Slide 9</x:v>
      </x:c>
      <x:c r="Q79" s="9" t="str">
        <x:v>https://www.oregon.gov/odhs/about/legislativeinformation/2026-odhs-oep-overview-staffing-wm.pdf</x:v>
      </x:c>
    </x:row>
    <x:row r="80" ht="72" customHeight="1">
      <x:c r="A80" s="10" t="str">
        <x:v>S40</x:v>
      </x:c>
      <x:c r="B80" s="10" t="str">
        <x:v>PR-OR-OEP</x:v>
      </x:c>
      <x:c r="C80" s="10" t="str">
        <x:v>Human interactions</x:v>
      </x:c>
      <x:c r="D80" s="13" t="n">
        <x:v>3600000</x:v>
      </x:c>
      <x:c r="E80" s="11" t="str">
        <x:v>interactions</x:v>
      </x:c>
      <x:c r="F80" s="11"/>
      <x:c r="G80" s="15"/>
      <x:c r="H80" s="10" t="str">
        <x:v>Calendar 2025</x:v>
      </x:c>
      <x:c r="I80" s="10" t="str">
        <x:v>2026-02-16</x:v>
      </x:c>
      <x:c r="J80" s="10" t="str">
        <x:v>Agency-reported output</x:v>
      </x:c>
      <x:c r="K80" s="10" t="str">
        <x:v>Budget / workload as labeled</x:v>
      </x:c>
      <x:c r="L80" s="10" t="str">
        <x:v>Includes many program contacts; non-add to tasks</x:v>
      </x:c>
      <x:c r="M80" s="10" t="str">
        <x:v>OR-workload</x:v>
      </x:c>
      <x:c r="N80" s="10" t="str"/>
      <x:c r="O80" s="10" t="str">
        <x:v>E06</x:v>
      </x:c>
      <x:c r="P80" s="10" t="str">
        <x:v>Slide 9</x:v>
      </x:c>
      <x:c r="Q80" s="10" t="str">
        <x:v>https://www.oregon.gov/odhs/about/legislativeinformation/2026-odhs-oep-overview-staffing-wm.pdf</x:v>
      </x:c>
    </x:row>
    <x:row r="81" ht="72" customHeight="1">
      <x:c r="A81" s="9" t="str">
        <x:v>S41</x:v>
      </x:c>
      <x:c r="B81" s="9" t="str">
        <x:v>PR-OR-OEP</x:v>
      </x:c>
      <x:c r="C81" s="9" t="str">
        <x:v>Calls answered</x:v>
      </x:c>
      <x:c r="D81" s="14" t="n">
        <x:v>1200000</x:v>
      </x:c>
      <x:c r="E81" s="12" t="str">
        <x:v>calls</x:v>
      </x:c>
      <x:c r="F81" s="12"/>
      <x:c r="G81" s="16"/>
      <x:c r="H81" s="9" t="str">
        <x:v>Calendar 2025</x:v>
      </x:c>
      <x:c r="I81" s="9" t="str">
        <x:v>2026-02-16</x:v>
      </x:c>
      <x:c r="J81" s="9" t="str">
        <x:v>Agency-reported output</x:v>
      </x:c>
      <x:c r="K81" s="9" t="str">
        <x:v>Budget / workload as labeled</x:v>
      </x:c>
      <x:c r="L81" s="9" t="str">
        <x:v>ONE service center only; historical before phone migration</x:v>
      </x:c>
      <x:c r="M81" s="9" t="str">
        <x:v>OR-workload</x:v>
      </x:c>
      <x:c r="N81" s="9" t="str"/>
      <x:c r="O81" s="9" t="str">
        <x:v>E06</x:v>
      </x:c>
      <x:c r="P81" s="9" t="str">
        <x:v>Slide 9</x:v>
      </x:c>
      <x:c r="Q81" s="9" t="str">
        <x:v>https://www.oregon.gov/odhs/about/legislativeinformation/2026-odhs-oep-overview-staffing-wm.pdf</x:v>
      </x:c>
    </x:row>
    <x:row r="82" ht="72" customHeight="1">
      <x:c r="A82" s="10" t="str">
        <x:v>S42</x:v>
      </x:c>
      <x:c r="B82" s="10" t="str">
        <x:v>PR-OR-OEP</x:v>
      </x:c>
      <x:c r="C82" s="10" t="str">
        <x:v>Monthly overtime</x:v>
      </x:c>
      <x:c r="D82" s="13" t="n">
        <x:v>20000</x:v>
      </x:c>
      <x:c r="E82" s="11" t="str">
        <x:v>hours per month</x:v>
      </x:c>
      <x:c r="F82" s="11"/>
      <x:c r="G82" s="15"/>
      <x:c r="H82" s="10" t="str">
        <x:v>2025 monthly average</x:v>
      </x:c>
      <x:c r="I82" s="10" t="str">
        <x:v>2026-02-16</x:v>
      </x:c>
      <x:c r="J82" s="10" t="str">
        <x:v>Agency approximate estimate</x:v>
      </x:c>
      <x:c r="K82" s="10" t="str">
        <x:v>Budget / workload as labeled</x:v>
      </x:c>
      <x:c r="L82" s="10" t="str">
        <x:v>Enterprise all programs; not spare staff time</x:v>
      </x:c>
      <x:c r="M82" s="10" t="str">
        <x:v>OR-workload</x:v>
      </x:c>
      <x:c r="N82" s="10" t="str"/>
      <x:c r="O82" s="10" t="str">
        <x:v>E06</x:v>
      </x:c>
      <x:c r="P82" s="10" t="str">
        <x:v>Slide 17</x:v>
      </x:c>
      <x:c r="Q82" s="10" t="str">
        <x:v>https://www.oregon.gov/odhs/about/legislativeinformation/2026-odhs-oep-overview-staffing-wm.pdf</x:v>
      </x:c>
    </x:row>
    <x:row r="83" ht="72" customHeight="1">
      <x:c r="A83" s="9" t="str">
        <x:v>S43</x:v>
      </x:c>
      <x:c r="B83" s="9" t="str">
        <x:v>PR-OR-OEP</x:v>
      </x:c>
      <x:c r="C83" s="9" t="str">
        <x:v>Monthly overtime cost lower threshold</x:v>
      </x:c>
      <x:c r="D83" s="14" t="n">
        <x:v>1</x:v>
      </x:c>
      <x:c r="E83" s="12" t="str">
        <x:v>USD million</x:v>
      </x:c>
      <x:c r="F83" s="12" t="n">
        <x:v>1000000</x:v>
      </x:c>
      <x:c r="G83" s="16" t="n">
        <x:f>D83*F83</x:f>
        <x:v>1000000</x:v>
      </x:c>
      <x:c r="H83" s="9" t="str">
        <x:v>2025 monthly average</x:v>
      </x:c>
      <x:c r="I83" s="9" t="str">
        <x:v>2026-02-16</x:v>
      </x:c>
      <x:c r="J83" s="9" t="str">
        <x:v>Reported MORE THAN this amount</x:v>
      </x:c>
      <x:c r="K83" s="9" t="str">
        <x:v>Budget / workload as labeled</x:v>
      </x:c>
      <x:c r="L83" s="9" t="str">
        <x:v>Lower threshold, not exact cost; no extrapolated savings</x:v>
      </x:c>
      <x:c r="M83" s="9" t="str">
        <x:v>OR-workload</x:v>
      </x:c>
      <x:c r="N83" s="9" t="str"/>
      <x:c r="O83" s="9" t="str">
        <x:v>E06</x:v>
      </x:c>
      <x:c r="P83" s="9" t="str">
        <x:v>Slide 17</x:v>
      </x:c>
      <x:c r="Q83" s="9" t="str">
        <x:v>https://www.oregon.gov/odhs/about/legislativeinformation/2026-odhs-oep-overview-staffing-wm.pdf</x:v>
      </x:c>
    </x:row>
    <x:row r="84" ht="72" customHeight="1">
      <x:c r="A84" s="10" t="str">
        <x:v>S44</x:v>
      </x:c>
      <x:c r="B84" s="10" t="str">
        <x:v>PR-OR-OEP</x:v>
      </x:c>
      <x:c r="C84" s="10" t="str">
        <x:v>Medicaid work-rule screening</x:v>
      </x:c>
      <x:c r="D84" s="13" t="n">
        <x:v>38133</x:v>
      </x:c>
      <x:c r="E84" s="11" t="str">
        <x:v>hours per year</x:v>
      </x:c>
      <x:c r="F84" s="11"/>
      <x:c r="G84" s="15"/>
      <x:c r="H84" s="10" t="str">
        <x:v>HR1 annual scenario</x:v>
      </x:c>
      <x:c r="I84" s="10" t="str">
        <x:v>2026-02-16</x:v>
      </x:c>
      <x:c r="J84" s="10" t="str">
        <x:v>Agency workload forecast</x:v>
      </x:c>
      <x:c r="K84" s="10" t="str">
        <x:v>Budget / workload as labeled</x:v>
      </x:c>
      <x:c r="L84" s="10" t="str">
        <x:v>Current-law activity; not whole eligibility workload</x:v>
      </x:c>
      <x:c r="M84" s="10" t="str">
        <x:v>OR-workload</x:v>
      </x:c>
      <x:c r="N84" s="10" t="str"/>
      <x:c r="O84" s="10" t="str">
        <x:v>E06</x:v>
      </x:c>
      <x:c r="P84" s="10" t="str">
        <x:v>Slide 21</x:v>
      </x:c>
      <x:c r="Q84" s="10" t="str">
        <x:v>https://www.oregon.gov/odhs/about/legislativeinformation/2026-odhs-oep-overview-staffing-wm.pdf</x:v>
      </x:c>
    </x:row>
    <x:row r="85" ht="72" customHeight="1">
      <x:c r="A85" s="9" t="str">
        <x:v>S45</x:v>
      </x:c>
      <x:c r="B85" s="9" t="str">
        <x:v>PR-OR-OEP</x:v>
      </x:c>
      <x:c r="C85" s="9" t="str">
        <x:v>Medicaid work-rule verification</x:v>
      </x:c>
      <x:c r="D85" s="14" t="n">
        <x:v>223080</x:v>
      </x:c>
      <x:c r="E85" s="12" t="str">
        <x:v>hours per year</x:v>
      </x:c>
      <x:c r="F85" s="12"/>
      <x:c r="G85" s="16"/>
      <x:c r="H85" s="9" t="str">
        <x:v>HR1 annual scenario</x:v>
      </x:c>
      <x:c r="I85" s="9" t="str">
        <x:v>2026-02-16</x:v>
      </x:c>
      <x:c r="J85" s="9" t="str">
        <x:v>Agency workload forecast</x:v>
      </x:c>
      <x:c r="K85" s="9" t="str">
        <x:v>Budget / workload as labeled</x:v>
      </x:c>
      <x:c r="L85" s="9" t="str">
        <x:v>After agency 22% attrition assumption; not independently validated</x:v>
      </x:c>
      <x:c r="M85" s="9" t="str">
        <x:v>OR-workload</x:v>
      </x:c>
      <x:c r="N85" s="9" t="str"/>
      <x:c r="O85" s="9" t="str">
        <x:v>E06</x:v>
      </x:c>
      <x:c r="P85" s="9" t="str">
        <x:v>Slide 21</x:v>
      </x:c>
      <x:c r="Q85" s="9" t="str">
        <x:v>https://www.oregon.gov/odhs/about/legislativeinformation/2026-odhs-oep-overview-staffing-wm.pdf</x:v>
      </x:c>
    </x:row>
    <x:row r="86" ht="72" customHeight="1">
      <x:c r="A86" s="10" t="str">
        <x:v>S46</x:v>
      </x:c>
      <x:c r="B86" s="10" t="str">
        <x:v>PR-OR-OEP</x:v>
      </x:c>
      <x:c r="C86" s="10" t="str">
        <x:v>Central systems positions</x:v>
      </x:c>
      <x:c r="D86" s="13" t="n">
        <x:v>108</x:v>
      </x:c>
      <x:c r="E86" s="11" t="str">
        <x:v>positions</x:v>
      </x:c>
      <x:c r="F86" s="11"/>
      <x:c r="G86" s="15"/>
      <x:c r="H86" s="10" t="str">
        <x:v>As presented February 2026</x:v>
      </x:c>
      <x:c r="I86" s="10" t="str">
        <x:v>2026-02-16</x:v>
      </x:c>
      <x:c r="J86" s="10" t="str">
        <x:v>Agency-reported positions</x:v>
      </x:c>
      <x:c r="K86" s="10" t="str">
        <x:v>Budget / workload as labeled</x:v>
      </x:c>
      <x:c r="L86" s="10" t="str">
        <x:v>Across programs; no Medicaid task assignment or availability established</x:v>
      </x:c>
      <x:c r="M86" s="10" t="str">
        <x:v>OR-workload</x:v>
      </x:c>
      <x:c r="N86" s="10" t="str"/>
      <x:c r="O86" s="10" t="str">
        <x:v>E06</x:v>
      </x:c>
      <x:c r="P86" s="10" t="str">
        <x:v>Slide 12</x:v>
      </x:c>
      <x:c r="Q86" s="10" t="str">
        <x:v>https://www.oregon.gov/odhs/about/legislativeinformation/2026-odhs-oep-overview-staffing-wm.pdf</x:v>
      </x:c>
    </x:row>
    <x:row r="87" ht="72" customHeight="1">
      <x:c r="A87" s="9" t="str">
        <x:v>S47</x:v>
      </x:c>
      <x:c r="B87" s="9" t="str">
        <x:v>PR-OR-OEP</x:v>
      </x:c>
      <x:c r="C87" s="9" t="str">
        <x:v>Training positions</x:v>
      </x:c>
      <x:c r="D87" s="14" t="n">
        <x:v>56</x:v>
      </x:c>
      <x:c r="E87" s="12" t="str">
        <x:v>positions</x:v>
      </x:c>
      <x:c r="F87" s="12"/>
      <x:c r="G87" s="16"/>
      <x:c r="H87" s="9" t="str">
        <x:v>As presented February 2026</x:v>
      </x:c>
      <x:c r="I87" s="9" t="str">
        <x:v>2026-02-16</x:v>
      </x:c>
      <x:c r="J87" s="9" t="str">
        <x:v>Agency-reported positions</x:v>
      </x:c>
      <x:c r="K87" s="9" t="str">
        <x:v>Budget / workload as labeled</x:v>
      </x:c>
      <x:c r="L87" s="9" t="str">
        <x:v>36 budgeted and 20 non-budgeted; not filled FTE</x:v>
      </x:c>
      <x:c r="M87" s="9" t="str">
        <x:v>OR-workload</x:v>
      </x:c>
      <x:c r="N87" s="9" t="str"/>
      <x:c r="O87" s="9" t="str">
        <x:v>E06</x:v>
      </x:c>
      <x:c r="P87" s="9" t="str">
        <x:v>Slide 12</x:v>
      </x:c>
      <x:c r="Q87" s="9" t="str">
        <x:v>https://www.oregon.gov/odhs/about/legislativeinformation/2026-odhs-oep-overview-staffing-wm.pdf</x:v>
      </x:c>
    </x:row>
    <x:row r="88" ht="72" customHeight="1">
      <x:c r="A88" s="10" t="str">
        <x:v>S48</x:v>
      </x:c>
      <x:c r="B88" s="10" t="str">
        <x:v>PR-OR-OEP</x:v>
      </x:c>
      <x:c r="C88" s="10" t="str">
        <x:v>Hearings positions</x:v>
      </x:c>
      <x:c r="D88" s="13" t="n">
        <x:v>22</x:v>
      </x:c>
      <x:c r="E88" s="11" t="str">
        <x:v>positions</x:v>
      </x:c>
      <x:c r="F88" s="11"/>
      <x:c r="G88" s="15"/>
      <x:c r="H88" s="10" t="str">
        <x:v>As presented February 2026</x:v>
      </x:c>
      <x:c r="I88" s="10" t="str">
        <x:v>2026-02-16</x:v>
      </x:c>
      <x:c r="J88" s="10" t="str">
        <x:v>Agency-reported positions</x:v>
      </x:c>
      <x:c r="K88" s="10" t="str">
        <x:v>Budget / workload as labeled</x:v>
      </x:c>
      <x:c r="L88" s="10" t="str">
        <x:v>Medical, food, cash and child care; not all Medicaid</x:v>
      </x:c>
      <x:c r="M88" s="10" t="str">
        <x:v>OR-workload</x:v>
      </x:c>
      <x:c r="N88" s="10" t="str"/>
      <x:c r="O88" s="10" t="str">
        <x:v>E06</x:v>
      </x:c>
      <x:c r="P88" s="10" t="str">
        <x:v>Slide 12</x:v>
      </x:c>
      <x:c r="Q88" s="10" t="str">
        <x:v>https://www.oregon.gov/odhs/about/legislativeinformation/2026-odhs-oep-overview-staffing-wm.pdf</x:v>
      </x:c>
    </x:row>
    <x:row r="89" ht="72" customHeight="1">
      <x:c r="A89" s="9" t="str">
        <x:v>S49</x:v>
      </x:c>
      <x:c r="B89" s="9" t="str">
        <x:v>PR-OR-OEP</x:v>
      </x:c>
      <x:c r="C89" s="9" t="str">
        <x:v>Budgeted training positions</x:v>
      </x:c>
      <x:c r="D89" s="14" t="n">
        <x:v>36</x:v>
      </x:c>
      <x:c r="E89" s="12" t="str">
        <x:v>positions</x:v>
      </x:c>
      <x:c r="F89" s="12"/>
      <x:c r="G89" s="16"/>
      <x:c r="H89" s="9" t="str">
        <x:v>As presented February 2026</x:v>
      </x:c>
      <x:c r="I89" s="9" t="str">
        <x:v>2026-02-16</x:v>
      </x:c>
      <x:c r="J89" s="9" t="str">
        <x:v>Agency-reported positions</x:v>
      </x:c>
      <x:c r="K89" s="9" t="str">
        <x:v>Budget / workload as labeled</x:v>
      </x:c>
      <x:c r="L89" s="9" t="str">
        <x:v>Component of 56 training positions</x:v>
      </x:c>
      <x:c r="M89" s="9" t="str">
        <x:v>OR-workload</x:v>
      </x:c>
      <x:c r="N89" s="9" t="str">
        <x:v>S47</x:v>
      </x:c>
      <x:c r="O89" s="9" t="str">
        <x:v>E06</x:v>
      </x:c>
      <x:c r="P89" s="9" t="str">
        <x:v>Slide 12</x:v>
      </x:c>
      <x:c r="Q89" s="9" t="str">
        <x:v>https://www.oregon.gov/odhs/about/legislativeinformation/2026-odhs-oep-overview-staffing-wm.pdf</x:v>
      </x:c>
    </x:row>
    <x:row r="90" ht="72" customHeight="1">
      <x:c r="A90" s="10" t="str">
        <x:v>S50</x:v>
      </x:c>
      <x:c r="B90" s="10" t="str">
        <x:v>PR-OR-OEP</x:v>
      </x:c>
      <x:c r="C90" s="10" t="str">
        <x:v>Non-budgeted training positions</x:v>
      </x:c>
      <x:c r="D90" s="13" t="n">
        <x:v>20</x:v>
      </x:c>
      <x:c r="E90" s="11" t="str">
        <x:v>positions</x:v>
      </x:c>
      <x:c r="F90" s="11"/>
      <x:c r="G90" s="15"/>
      <x:c r="H90" s="10" t="str">
        <x:v>As presented February 2026</x:v>
      </x:c>
      <x:c r="I90" s="10" t="str">
        <x:v>2026-02-16</x:v>
      </x:c>
      <x:c r="J90" s="10" t="str">
        <x:v>Agency-reported positions</x:v>
      </x:c>
      <x:c r="K90" s="10" t="str">
        <x:v>Budget / workload as labeled</x:v>
      </x:c>
      <x:c r="L90" s="10" t="str">
        <x:v>Component of 56 training positions</x:v>
      </x:c>
      <x:c r="M90" s="10" t="str">
        <x:v>OR-workload</x:v>
      </x:c>
      <x:c r="N90" s="10" t="str">
        <x:v>S47</x:v>
      </x:c>
      <x:c r="O90" s="10" t="str">
        <x:v>E06</x:v>
      </x:c>
      <x:c r="P90" s="10" t="str">
        <x:v>Slide 12</x:v>
      </x:c>
      <x:c r="Q90" s="10" t="str">
        <x:v>https://www.oregon.gov/odhs/about/legislativeinformation/2026-odhs-oep-overview-staffing-wm.pdf</x:v>
      </x:c>
    </x:row>
  </x:sheetData>
  <x:pageMargins left="0.7" right="0.7" top="0.75" bottom="0.75" header="0.3" footer="0.3"/>
  <x:tableParts count="1">
    <x:tablePart xmlns:r="http://schemas.openxmlformats.org/officeDocument/2006/relationships" r:id="R4f8b08c764f4451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1" hidden="0" customWidth="1"/>
    <x:col min="2" max="2" width="37" hidden="0" customWidth="1"/>
    <x:col min="3" max="3" width="45" hidden="0" customWidth="1"/>
    <x:col min="4" max="4" width="62" hidden="0" customWidth="1"/>
    <x:col min="5" max="5" width="58" hidden="0" customWidth="1"/>
    <x:col min="6" max="6" width="61" hidden="0" customWidth="1"/>
    <x:col min="7" max="7" width="35" hidden="0" customWidth="1"/>
    <x:col min="8" max="8" width="23" hidden="0" customWidth="1"/>
    <x:col min="9" max="9" width="7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Programs and accounts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40" customHeight="1">
      <x:c r="A5" s="7" t="str">
        <x:v>Program ID</x:v>
      </x:c>
      <x:c r="B5" s="7" t="str">
        <x:v>Program / function</x:v>
      </x:c>
      <x:c r="C5" s="7" t="str">
        <x:v>Organizations</x:v>
      </x:c>
      <x:c r="D5" s="7" t="str">
        <x:v>Account / legal identity</x:v>
      </x:c>
      <x:c r="E5" s="7" t="str">
        <x:v>Funding mechanism</x:v>
      </x:c>
      <x:c r="F5" s="7" t="str">
        <x:v>Delivery scope</x:v>
      </x:c>
      <x:c r="G5" s="7" t="str">
        <x:v>Existing work-package IDs</x:v>
      </x:c>
      <x:c r="H5" s="7" t="str">
        <x:v>Evidence IDs</x:v>
      </x:c>
      <x:c r="I5" s="7" t="str">
        <x:v>Restrictions / unresolved identity</x:v>
      </x:c>
    </x:row>
    <x:row r="6" ht="72" customHeight="1">
      <x:c r="A6" s="10" t="str">
        <x:v>PR-FED-PM</x:v>
      </x:c>
      <x:c r="B6" s="10" t="str">
        <x:v>CMS federal administration</x:v>
      </x:c>
      <x:c r="C6" s="10" t="str">
        <x:v>CMS Medicaid, Marketplace and shared IT functions</x:v>
      </x:c>
      <x:c r="D6" s="10" t="str">
        <x:v>Program Management account; exact TAS, subaccount and availability not reconciled</x:v>
      </x:c>
      <x:c r="E6" s="10" t="str">
        <x:v>Federal administrative appropriations, fees and mandatory sources</x:v>
      </x:c>
      <x:c r="F6" s="10" t="str">
        <x:v>National federal salaries, contracts, systems</x:v>
      </x:c>
      <x:c r="G6" s="10" t="str">
        <x:v>CMS-IMP-01;02;11;13</x:v>
      </x:c>
      <x:c r="H6" s="10" t="str">
        <x:v>P03;E01;E02</x:v>
      </x:c>
      <x:c r="I6" s="10" t="str">
        <x:v>Existing budget not a balance available for HLT; purpose and expiry require verification</x:v>
      </x:c>
    </x:row>
    <x:row r="7" ht="72" customHeight="1">
      <x:c r="A7" s="9" t="str">
        <x:v>PR-FED-MED</x:v>
      </x:c>
      <x:c r="B7" s="9" t="str">
        <x:v>Federal Medicaid contribution to state administration</x:v>
      </x:c>
      <x:c r="C7" s="9" t="str">
        <x:v>CMS / state Medicaid agency</x:v>
      </x:c>
      <x:c r="D7" s="9" t="str">
        <x:v>Grants to States for Medicaid; SSA title XIX, section 1903</x:v>
      </x:c>
      <x:c r="E7" s="9" t="str">
        <x:v>Federal financial participation; expenditure category and APD rules</x:v>
      </x:c>
      <x:c r="F7" s="9" t="str">
        <x:v>Federal grant contribution to state cost, not federal CMS staff</x:v>
      </x:c>
      <x:c r="G7" s="9" t="str">
        <x:v>CMS-IMP-02;08</x:v>
      </x:c>
      <x:c r="H7" s="9" t="str">
        <x:v>E02;E10;E11;E12;E13</x:v>
      </x:c>
      <x:c r="I7" s="9" t="str">
        <x:v>No federal/state double count; do not assign all state cost to CAP</x:v>
      </x:c>
    </x:row>
    <x:row r="8" ht="72" customHeight="1">
      <x:c r="A8" s="10" t="str">
        <x:v>PR-OR-OEP</x:v>
      </x:c>
      <x:c r="B8" s="10" t="str">
        <x:v>Integrated eligibility and operations</x:v>
      </x:c>
      <x:c r="C8" s="10" t="str">
        <x:v>ODHS Oregon Eligibility Partnership, with OHA and DELC</x:v>
      </x:c>
      <x:c r="D8" s="10" t="str">
        <x:v>Oregon cross-reference 10000-060-12-00-00000; agency 10000</x:v>
      </x:c>
      <x:c r="E8" s="10" t="str">
        <x:v>General Fund, Other Funds and Federal Funds by program</x:v>
      </x:c>
      <x:c r="F8" s="10" t="str">
        <x:v>ONE, training, casework, notices and hearings; multi-program</x:v>
      </x:c>
      <x:c r="G8" s="10" t="str">
        <x:v>CMS-IMP-02</x:v>
      </x:c>
      <x:c r="H8" s="10" t="str">
        <x:v>E03;E04;E05;E06</x:v>
      </x:c>
      <x:c r="I8" s="10" t="str">
        <x:v>SFY biennium is July 1 odd year–June 30 next odd year; not FFY</x:v>
      </x:c>
    </x:row>
    <x:row r="9" ht="72" customHeight="1">
      <x:c r="A9" s="9" t="str">
        <x:v>PR-OR-MED</x:v>
      </x:c>
      <x:c r="B9" s="9" t="str">
        <x:v>OHP / Medicaid / CHIP eligibility</x:v>
      </x:c>
      <x:c r="C9" s="9" t="str">
        <x:v>OHA program policy; ODHS eligibility service</x:v>
      </x:c>
      <x:c r="D9" s="9" t="str">
        <x:v>SSA titles XIX/XXI; state plan/waiver details to resolve</x:v>
      </x:c>
      <x:c r="E9" s="9" t="str">
        <x:v>Applicable Medicaid/CHIP administration financing, not uniform benefit FMAP</x:v>
      </x:c>
      <x:c r="F9" s="9" t="str">
        <x:v>Medical eligibility plus interfaces with non-MAGI and HCBS</x:v>
      </x:c>
      <x:c r="G9" s="9" t="str">
        <x:v>CMS-IMP-02;08</x:v>
      </x:c>
      <x:c r="H9" s="9" t="str">
        <x:v>P02;E06;E10</x:v>
      </x:c>
      <x:c r="I9" s="9" t="str">
        <x:v>Financial eligibility does not establish HCBS functional eligibility or provider access</x:v>
      </x:c>
    </x:row>
    <x:row r="10" ht="72" customHeight="1">
      <x:c r="A10" s="10" t="str">
        <x:v>PR-OR-MKT</x:v>
      </x:c>
      <x:c r="B10" s="10" t="str">
        <x:v>Marketplace and subsidy handoff</x:v>
      </x:c>
      <x:c r="C10" s="10" t="str">
        <x:v>OHA marketplace; CMS; Treasury/IRS; issuers</x:v>
      </x:c>
      <x:c r="D10" s="10" t="str">
        <x:v>ACA premium-tax-credit/payment authorities; program account crosswalk pending</x:v>
      </x:c>
      <x:c r="E10" s="10" t="str">
        <x:v>Marketplace administrative budget; subsidies separate</x:v>
      </x:c>
      <x:c r="F10" s="10" t="str">
        <x:v>ONE referrals to HealthCare.gov for 2026 and planned Explore Health for 2027</x:v>
      </x:c>
      <x:c r="G10" s="10" t="str">
        <x:v>CMS-IMP-02;01;11;13</x:v>
      </x:c>
      <x:c r="H10" s="10" t="str">
        <x:v>E08;E02</x:v>
      </x:c>
      <x:c r="I10" s="10" t="str">
        <x:v>2027 transition planned as of September 2026; FY2029 architecture unverified</x:v>
      </x:c>
    </x:row>
    <x:row r="11" ht="72" customHeight="1">
      <x:c r="A11" s="9" t="str">
        <x:v>PR-OR-SNAP</x:v>
      </x:c>
      <x:c r="B11" s="9" t="str">
        <x:v>SNAP co-user of ONE</x:v>
      </x:c>
      <x:c r="C11" s="9" t="str">
        <x:v>ODHS / USDA nutrition program administration</x:v>
      </x:c>
      <x:c r="D11" s="9" t="str">
        <x:v>Food and Nutrition Act section 16(a); separate USDA submission</x:v>
      </x:c>
      <x:c r="E11" s="9" t="str">
        <x:v>SNAP benefit and administration streams separately</x:v>
      </x:c>
      <x:c r="F11" s="9" t="str">
        <x:v>Shared platform beneficiary; HLT-1 does not repeal SNAP law</x:v>
      </x:c>
      <x:c r="G11" s="9" t="str">
        <x:v>CMS-IMP-02 shared interface only</x:v>
      </x:c>
      <x:c r="H11" s="9" t="str">
        <x:v>E05;E10;E19</x:v>
      </x:c>
      <x:c r="I11" s="9" t="str">
        <x:v>Do not apply Medicaid enhanced match or infer SNAP repeal under HLT-1</x:v>
      </x:c>
    </x:row>
    <x:row r="12" ht="72" customHeight="1">
      <x:c r="A12" s="10" t="str">
        <x:v>PR-OR-OTHER</x:v>
      </x:c>
      <x:c r="B12" s="10" t="str">
        <x:v>TANF, child care and other ONE co-users</x:v>
      </x:c>
      <x:c r="C12" s="10" t="str">
        <x:v>ODHS / DELC and relevant federal partners</x:v>
      </x:c>
      <x:c r="D12" s="10" t="str">
        <x:v>Program-specific authorities and cost-allocation approvals to verify</x:v>
      </x:c>
      <x:c r="E12" s="10" t="str">
        <x:v>Restricted program grants and state support</x:v>
      </x:c>
      <x:c r="F12" s="10" t="str">
        <x:v>Co-users; regression-test protection needed</x:v>
      </x:c>
      <x:c r="G12" s="10" t="str">
        <x:v>CMS-IMP-02 shared interface only</x:v>
      </x:c>
      <x:c r="H12" s="10" t="str">
        <x:v>E06;E10</x:v>
      </x:c>
      <x:c r="I12" s="10" t="str">
        <x:v>Do not charge non-Medicaid benefit to Medicaid; CAM is a separate system scope</x:v>
      </x:c>
    </x:row>
    <x:row r="13" ht="72" customHeight="1">
      <x:c r="A13" s="9" t="str">
        <x:v>PR-FED-DATA</x:v>
      </x:c>
      <x:c r="B13" s="9" t="str">
        <x:v>Federal verification and shared service interfaces</x:v>
      </x:c>
      <x:c r="C13" s="9" t="str">
        <x:v>CMS systems owner; Treasury/IRS; SSA; immigration-data partner</x:v>
      </x:c>
      <x:c r="D13" s="9" t="str">
        <x:v>Individual data agreements, purpose and disclosure authority to verify</x:v>
      </x:c>
      <x:c r="E13" s="9" t="str">
        <x:v>One cost owner per federal component; partner-agency costs separate</x:v>
      </x:c>
      <x:c r="F13" s="9" t="str">
        <x:v>Data Services Hub, identity, security and coverage-data exchanges</x:v>
      </x:c>
      <x:c r="G13" s="9" t="str">
        <x:v>CMS-IMP-13;11;06;02</x:v>
      </x:c>
      <x:c r="H13" s="9" t="str">
        <x:v>E02;E08;P04</x:v>
      </x:c>
      <x:c r="I13" s="9" t="str">
        <x:v>Existing interface is not unrestricted authority or guaranteed peak capacity</x:v>
      </x:c>
    </x:row>
  </x:sheetData>
  <x:pageMargins left="0.7" right="0.7" top="0.75" bottom="0.75" header="0.3" footer="0.3"/>
  <x:tableParts count="1">
    <x:tablePart xmlns:r="http://schemas.openxmlformats.org/officeDocument/2006/relationships" r:id="Rc258b887eb824e5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45" hidden="0" customWidth="1"/>
    <x:col min="3" max="3" width="82" hidden="0" customWidth="1"/>
    <x:col min="4" max="4" width="62" hidden="0" customWidth="1"/>
    <x:col min="5" max="5" width="63" hidden="0" customWidth="1"/>
    <x:col min="6" max="6" width="80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2" t="str">
        <x:v>Evidence and versions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40" customHeight="1">
      <x:c r="A5" s="7" t="str">
        <x:v>Evidence ID</x:v>
      </x:c>
      <x:c r="B5" s="7" t="str">
        <x:v>Source</x:v>
      </x:c>
      <x:c r="C5" s="7" t="str">
        <x:v>URL / supplied filename</x:v>
      </x:c>
      <x:c r="D5" s="7" t="str">
        <x:v>Version / retrieval date</x:v>
      </x:c>
      <x:c r="E5" s="7" t="str">
        <x:v>Inspection extent / location</x:v>
      </x:c>
      <x:c r="F5" s="7" t="str">
        <x:v>Limit</x:v>
      </x:c>
    </x:row>
    <x:row r="6" ht="72" customHeight="1">
      <x:c r="A6" s="10" t="str">
        <x:v>E01</x:v>
      </x:c>
      <x:c r="B6" s="10" t="str">
        <x:v>CMS FY2026 Program Management operating plan</x:v>
      </x:c>
      <x:c r="C6" s="10" t="str">
        <x:v>https://www.cms.gov/files/document/fy-2026-program-management-operating-plan.pdf</x:v>
      </x:c>
      <x:c r="D6" s="10" t="str">
        <x:v>FY2026 final plan; retrieved 2026-10-23</x:v>
      </x:c>
      <x:c r="E6" s="10" t="str">
        <x:v>One-page table, all rows and notes</x:v>
      </x:c>
      <x:c r="F6" s="10" t="str">
        <x:v>Collections estimated; RAC non-add; no capacity or unobligated-balance inference.</x:v>
      </x:c>
    </x:row>
    <x:row r="7" ht="72" customHeight="1">
      <x:c r="A7" s="9" t="str">
        <x:v>E02</x:v>
      </x:c>
      <x:c r="B7" s="9" t="str">
        <x:v>CMS FY2027 Congressional Justification</x:v>
      </x:c>
      <x:c r="C7" s="9" t="str">
        <x:v>https://www.cms.gov/files/document/fy-2027-justification-estimates-appropriations-committees.pdf</x:v>
      </x:c>
      <x:c r="D7" s="9" t="str">
        <x:v>FY2027 budget vintage; retrieved 2026-10-23</x:v>
      </x:c>
      <x:c r="E7" s="9" t="str">
        <x:v>Printed pp. 5, 103, 112–115, 126, 139</x:v>
      </x:c>
      <x:c r="F7" s="9" t="str">
        <x:v>Selected exhibits only; FY2027 request, prior columns as labeled; proposed reorganization adjusts scope.</x:v>
      </x:c>
    </x:row>
    <x:row r="8" ht="72" customHeight="1">
      <x:c r="A8" s="10" t="str">
        <x:v>E03</x:v>
      </x:c>
      <x:c r="B8" s="10" t="str">
        <x:v>Oregon Eligibility Partnership Ways and Means</x:v>
      </x:c>
      <x:c r="C8" s="10" t="str">
        <x:v>https://www.oregon.gov/odhs/about/legislativeinformation/2025-wm-oep.pdf</x:v>
      </x:c>
      <x:c r="D8" s="10" t="str">
        <x:v>2025-03-27 presentation; retrieved 2026-10-23</x:v>
      </x:c>
      <x:c r="E8" s="10" t="str">
        <x:v>Slides 8, 12, 18–19</x:v>
      </x:c>
      <x:c r="F8" s="10" t="str">
        <x:v>Governor proposal; ONE category includes CAM and Business Information Systems. Not executed spending.</x:v>
      </x:c>
    </x:row>
    <x:row r="9" ht="72" customHeight="1">
      <x:c r="A9" s="9" t="str">
        <x:v>E04</x:v>
      </x:c>
      <x:c r="B9" s="9" t="str">
        <x:v>ODHS 2025–27 Legislatively Adopted Budget</x:v>
      </x:c>
      <x:c r="C9" s="9" t="str">
        <x:v>https://www.oregon.gov/odhs/about/budget/2025-2027-lab.pdf</x:v>
      </x:c>
      <x:c r="D9" s="9" t="str">
        <x:v>BDV104 2025-09-25; retrieved 2026-10-23</x:v>
      </x:c>
      <x:c r="E9" s="9" t="str">
        <x:v>PDF p.117, BDV104 p.60 of 60; OEP total</x:v>
      </x:c>
      <x:c r="F9" s="9" t="str">
        <x:v>Appropriation presentation; not actual spending or available cash. Successful second download inspected.</x:v>
      </x:c>
    </x:row>
    <x:row r="10" ht="72" customHeight="1">
      <x:c r="A10" s="10" t="str">
        <x:v>E05</x:v>
      </x:c>
      <x:c r="B10" s="10" t="str">
        <x:v>ODHS 2027–29 Agency Request Budget, section 1</x:v>
      </x:c>
      <x:c r="C10" s="10" t="str">
        <x:v>https://www.oregon.gov/odhs/about/budget/2027-2029-arb-section-1.pdf</x:v>
      </x:c>
      <x:c r="D10" s="10" t="str">
        <x:v>BDV104 2026-08-24; PDF September 2026; retrieved 2026-10-23</x:v>
      </x:c>
      <x:c r="E10" s="10" t="str">
        <x:v>PDF pp.33–34, 71–73, 112–113; BDV104 pp.34–36 of 39</x:v>
      </x:c>
      <x:c r="F10" s="10" t="str">
        <x:v>Request not enacted. Revenue narrative connects SNAP move to HR1. Scope transfer is distinct from cost-share change. Old SNAP share in overview conflicts with USDA.</x:v>
      </x:c>
    </x:row>
    <x:row r="11" ht="72" customHeight="1">
      <x:c r="A11" s="9" t="str">
        <x:v>E06</x:v>
      </x:c>
      <x:c r="B11" s="9" t="str">
        <x:v>OEP Overview and Staffing</x:v>
      </x:c>
      <x:c r="C11" s="9" t="str">
        <x:v>https://www.oregon.gov/odhs/about/legislativeinformation/2026-odhs-oep-overview-staffing-wm.pdf</x:v>
      </x:c>
      <x:c r="D11" s="9" t="str">
        <x:v>2026-02-16; retrieved 2026-10-23</x:v>
      </x:c>
      <x:c r="E11" s="9" t="str">
        <x:v>Slides 9, 11–12, 15, 17, 21</x:v>
      </x:c>
      <x:c r="F11" s="9" t="str">
        <x:v>Agency-reported workloads and positions; forecasts not time study; no allocation to new HLT work.</x:v>
      </x:c>
    </x:row>
    <x:row r="12" ht="72" customHeight="1">
      <x:c r="A12" s="10" t="str">
        <x:v>E07</x:v>
      </x:c>
      <x:c r="B12" s="10" t="str">
        <x:v>ODHS 2026 end-of-session report</x:v>
      </x:c>
      <x:c r="C12" s="10" t="str">
        <x:v>https://www.oregon.gov/odhs/about/legislativeinformation/2026-end-of-session-report.pdf</x:v>
      </x:c>
      <x:c r="D12" s="10" t="str">
        <x:v>2026 session summary; retrieved 2026-10-23</x:v>
      </x:c>
      <x:c r="E12" s="10" t="str">
        <x:v>Printed pp.4–5</x:v>
      </x:c>
      <x:c r="F12" s="10" t="str">
        <x:v>Agency account of enacted changes; $111m/392 positions spans ODHS, not solely OEP or Medicaid.</x:v>
      </x:c>
    </x:row>
    <x:row r="13" ht="72" customHeight="1">
      <x:c r="A13" s="9" t="str">
        <x:v>E08</x:v>
      </x:c>
      <x:c r="B13" s="9" t="str">
        <x:v>ONE September 2026 system-release bulletin</x:v>
      </x:c>
      <x:c r="C13" s="9" t="str">
        <x:v>https://content.govdelivery.com/accounts/ORDHS/bulletins/42b03b8</x:v>
      </x:c>
      <x:c r="D13" s="9" t="str">
        <x:v>2026-09-16; retrieved 2026-10-23</x:v>
      </x:c>
      <x:c r="E13" s="9" t="str">
        <x:v>HR1 changes; marketplace connectivity; SSA interface sections</x:v>
      </x:c>
      <x:c r="F13" s="9" t="str">
        <x:v>Planned/reported release functions; deployment success and current production configuration not independently tested.</x:v>
      </x:c>
    </x:row>
    <x:row r="14" ht="72" customHeight="1">
      <x:c r="A14" s="10" t="str">
        <x:v>E09</x:v>
      </x:c>
      <x:c r="B14" s="10" t="str">
        <x:v>ONE operations dashboard documentation</x:v>
      </x:c>
      <x:c r="C14" s="10" t="str">
        <x:v>https://www.oregon.gov/odhs/agency/pages/oep-one-dashboards.aspx</x:v>
      </x:c>
      <x:c r="D14" s="10" t="str">
        <x:v>Retrieved 2026-10-23</x:v>
      </x:c>
      <x:c r="E14" s="10" t="str">
        <x:v>ONE Customer Service Center note</x:v>
      </x:c>
      <x:c r="F14" s="10" t="str">
        <x:v>Reliability gap after 2026-08-24 telephony migration. No current wait-time value imported.</x:v>
      </x:c>
    </x:row>
    <x:row r="15" ht="72" customHeight="1">
      <x:c r="A15" s="9" t="str">
        <x:v>E10</x:v>
      </x:c>
      <x:c r="B15" s="9" t="str">
        <x:v>Multi-Program Advance Planning Documents</x:v>
      </x:c>
      <x:c r="C15" s="9" t="str">
        <x:v>https://www.medicaid.gov/medicaid/data-systems/multi-program-advance-planning-documents</x:v>
      </x:c>
      <x:c r="D15" s="9" t="str">
        <x:v>Retrieved 2026-10-23</x:v>
      </x:c>
      <x:c r="E15" s="9" t="str">
        <x:v>APD submission and cost allocation sections</x:v>
      </x:c>
      <x:c r="F15" s="9" t="str">
        <x:v>Guidance inspected; no Oregon approved APD or CAM formula reviewed. SNAP submission/response separate.</x:v>
      </x:c>
    </x:row>
    <x:row r="16" ht="72" customHeight="1">
      <x:c r="A16" s="10" t="str">
        <x:v>E11</x:v>
      </x:c>
      <x:c r="B16" s="10" t="str">
        <x:v>Systems development FFP</x:v>
      </x:c>
      <x:c r="C16" s="10" t="str">
        <x:v>https://www.ecfr.gov/current/title-42/chapter-IV/subchapter-C/part-433/subpart-C/section-433.112</x:v>
      </x:c>
      <x:c r="D16" s="10" t="str">
        <x:v>eCFR displayed through 2026-10-21; retrieved 2026-10-23</x:v>
      </x:c>
      <x:c r="E16" s="10" t="str">
        <x:v>42 CFR 433.112(a)–(b)</x:v>
      </x:c>
      <x:c r="F16" s="10" t="str">
        <x:v>Conditional 90% rate; prior CMS APD approval and other conditions. Recheck for 2029.</x:v>
      </x:c>
    </x:row>
    <x:row r="17" ht="72" customHeight="1">
      <x:c r="A17" s="9" t="str">
        <x:v>E12</x:v>
      </x:c>
      <x:c r="B17" s="9" t="str">
        <x:v>Systems operations FFP</x:v>
      </x:c>
      <x:c r="C17" s="9" t="str">
        <x:v>https://www.ecfr.gov/current/title-42/chapter-IV/subchapter-C/part-433/subpart-C/section-433.116</x:v>
      </x:c>
      <x:c r="D17" s="9" t="str">
        <x:v>eCFR displayed through 2026-10-20; retrieved 2026-10-23</x:v>
      </x:c>
      <x:c r="E17" s="9" t="str">
        <x:v>42 CFR 433.116(a), (j)</x:v>
      </x:c>
      <x:c r="F17" s="9" t="str">
        <x:v>Conditional 75% operations rate; not all eligibility work or all integrated-system costs.</x:v>
      </x:c>
    </x:row>
    <x:row r="18" ht="72" customHeight="1">
      <x:c r="A18" s="10" t="str">
        <x:v>E13</x:v>
      </x:c>
      <x:c r="B18" s="10" t="str">
        <x:v>Other administration FFP</x:v>
      </x:c>
      <x:c r="C18" s="10" t="str">
        <x:v>https://www.ecfr.gov/current/title-42/chapter-IV/subchapter-C/part-433/subpart-A/section-433.15</x:v>
      </x:c>
      <x:c r="D18" s="10" t="str">
        <x:v>eCFR displayed through 2026-10-20; retrieved 2026-10-23</x:v>
      </x:c>
      <x:c r="E18" s="10" t="str">
        <x:v>42 CFR 433.15(b)(3), (4), (7)</x:v>
      </x:c>
      <x:c r="F18" s="10" t="str">
        <x:v>General administrative rate 50%; classification and allocation require specialist review.</x:v>
      </x:c>
    </x:row>
    <x:row r="19" ht="72" customHeight="1">
      <x:c r="A19" s="9" t="str">
        <x:v>E14</x:v>
      </x:c>
      <x:c r="B19" s="9" t="str">
        <x:v>SFFAS 4 cost accounting</x:v>
      </x:c>
      <x:c r="C19" s="9" t="str">
        <x:v>https://files.fasab.gov/pdffiles/handbook_sffas_4.pdf</x:v>
      </x:c>
      <x:c r="D19" s="9" t="str">
        <x:v>FASAB handbook version 24 (9/25); retrieved 2026-10-23</x:v>
      </x:c>
      <x:c r="E19" s="9" t="str">
        <x:v>Summary pp.1–2 and paragraph 11</x:v>
      </x:c>
      <x:c r="F19" s="9" t="str">
        <x:v>Trace directly, then causal assignment, then reasonable consistent allocation; does not establish funding authority.</x:v>
      </x:c>
    </x:row>
    <x:row r="20" ht="72" customHeight="1">
      <x:c r="A20" s="10" t="str">
        <x:v>E15</x:v>
      </x:c>
      <x:c r="B20" s="10" t="str">
        <x:v>GAO Medicaid eligibility oversight</x:v>
      </x:c>
      <x:c r="C20" s="10" t="str">
        <x:v>https://www.gao.gov/products/gao-26-108017</x:v>
      </x:c>
      <x:c r="D20" s="10" t="str">
        <x:v>Published 2026-08-18, released 2026-09-17; retrieved 2026-10-23</x:v>
      </x:c>
      <x:c r="E20" s="10" t="str">
        <x:v>Highlights and recommendations</x:v>
      </x:c>
      <x:c r="F20" s="10" t="str">
        <x:v>Selected-state evidence; no national staffing estimate or Oregon-specific error finding inferred.</x:v>
      </x:c>
    </x:row>
    <x:row r="21" ht="72" customHeight="1">
      <x:c r="A21" s="9" t="str">
        <x:v>E16</x:v>
      </x:c>
      <x:c r="B21" s="9" t="str">
        <x:v>GAO cost guide</x:v>
      </x:c>
      <x:c r="C21" s="9" t="str">
        <x:v>https://www.gao.gov/products/gao-20-195g</x:v>
      </x:c>
      <x:c r="D21" s="9" t="str">
        <x:v>2020-03-12; retrieved 2026-10-23</x:v>
      </x:c>
      <x:c r="E21" s="9" t="str">
        <x:v>Publication overview and estimating steps</x:v>
      </x:c>
      <x:c r="F21" s="9" t="str">
        <x:v>Methods overview inspected; no claim of certified compliance with entire guide.</x:v>
      </x:c>
    </x:row>
    <x:row r="22" ht="72" customHeight="1">
      <x:c r="A22" s="10" t="str">
        <x:v>E17</x:v>
      </x:c>
      <x:c r="B22" s="10" t="str">
        <x:v>GAO schedule guide</x:v>
      </x:c>
      <x:c r="C22" s="10" t="str">
        <x:v>https://www.gao.gov/products/gao-16-89g</x:v>
      </x:c>
      <x:c r="D22" s="10" t="str">
        <x:v>2015-12-22; retrieved 2026-10-23</x:v>
      </x:c>
      <x:c r="E22" s="10" t="str">
        <x:v>Overview</x:v>
      </x:c>
      <x:c r="F22" s="10" t="str">
        <x:v>Dependency and delay-cost discipline; not proof of this launch schedule.</x:v>
      </x:c>
    </x:row>
    <x:row r="23" ht="72" customHeight="1">
      <x:c r="A23" s="9" t="str">
        <x:v>E18</x:v>
      </x:c>
      <x:c r="B23" s="9" t="str">
        <x:v>ONE training procurement notice</x:v>
      </x:c>
      <x:c r="C23" s="9" t="str">
        <x:v>https://oregonbuys.gov/bso/external/bidDetail.sda?docId=S-10000-00017274&amp;external=true&amp;parentUrl=close</x:v>
      </x:c>
      <x:c r="D23" s="9" t="str">
        <x:v>Available 2026-06-18; retrieved 2026-10-23</x:v>
      </x:c>
      <x:c r="E23" s="9" t="str">
        <x:v>Notice S-10000-00017274; item 1</x:v>
      </x:c>
      <x:c r="F23" s="9" t="str">
        <x:v>Notice only. Executed contract, amendments, amount, term and remaining effort not verified.</x:v>
      </x:c>
    </x:row>
    <x:row r="24" ht="72" customHeight="1">
      <x:c r="A24" s="10" t="str">
        <x:v>E19</x:v>
      </x:c>
      <x:c r="B24" s="10" t="str">
        <x:v>USDA SNAP administrative cost-sharing proposal</x:v>
      </x:c>
      <x:c r="C24" s="10" t="str">
        <x:v>https://public-inspection.federalregister.gov/2026-12696.pdf</x:v>
      </x:c>
      <x:c r="D24" s="10" t="str">
        <x:v>Scheduled publication 2026-06-24; retrieved 2026-10-23</x:v>
      </x:c>
      <x:c r="E24" s="10" t="str">
        <x:v>PDF pp.1, 3, statutory authority</x:v>
      </x:c>
      <x:c r="F24" s="10" t="str">
        <x:v>Proposed implementing rule describes statutory 50% to 25% federal share from FY2027. Not a final-rule certification.</x:v>
      </x:c>
    </x:row>
    <x:row r="25" ht="72" customHeight="1">
      <x:c r="A25" s="9" t="str">
        <x:v>E20</x:v>
      </x:c>
      <x:c r="B25" s="9" t="str">
        <x:v>Medicaid continuation pending hearing</x:v>
      </x:c>
      <x:c r="C25" s="9" t="str">
        <x:v>https://www.ecfr.gov/current/title-42/chapter-IV/subchapter-C/part-431/subpart-E/section-431.230</x:v>
      </x:c>
      <x:c r="D25" s="9" t="str">
        <x:v>eCFR displayed through 2026-10-20; retrieved 2026-10-23</x:v>
      </x:c>
      <x:c r="E25" s="9" t="str">
        <x:v>42 CFR 431.230(a)–(b)</x:v>
      </x:c>
      <x:c r="F25" s="9" t="str">
        <x:v>Existing protection has notice, timing and other conditions. Broader transition remedy below is a proposal.</x:v>
      </x:c>
    </x:row>
    <x:row r="26" ht="72" customHeight="1">
      <x:c r="A26" s="10" t="str">
        <x:v>P01</x:v>
      </x:c>
      <x:c r="B26" s="10" t="str">
        <x:v>Governing decisions</x:v>
      </x:c>
      <x:c r="C26" s="10" t="str">
        <x:v>https://github.com/fm58cn6g4d-stack/project-2050/blob/e15c5c4a711b4cd2b482bac8300de45f2e08721f/governing/project-2050-governing-decisions.md</x:v>
      </x:c>
      <x:c r="D26" s="10" t="str">
        <x:v>e15c5c4a711b4cd2b482bac8300de45f2e08721f</x:v>
      </x:c>
      <x:c r="E26" s="10" t="str">
        <x:v>D4–D6, D9; design rules; hierarchy</x:v>
      </x:c>
      <x:c r="F26" s="10" t="str">
        <x:v>Approved policy authority; external 3797741 export predates surge change.</x:v>
      </x:c>
    </x:row>
    <x:row r="27" ht="72" customHeight="1">
      <x:c r="A27" s="9" t="str">
        <x:v>P02</x:v>
      </x:c>
      <x:c r="B27" s="9" t="str">
        <x:v>Health canonical domain</x:v>
      </x:c>
      <x:c r="C27" s="9" t="str">
        <x:v>https://github.com/fm58cn6g4d-stack/project-2050/blob/e15c5c4a711b4cd2b482bac8300de45f2e08721f/domains/domain-health.md</x:v>
      </x:c>
      <x:c r="D27" s="9" t="str">
        <x:v>e15c5c4a711b4cd2b482bac8300de45f2e08721f</x:v>
      </x:c>
      <x:c r="E27" s="9" t="str">
        <x:v>HLT-1/4; Felt dates; Dependencies</x:v>
      </x:c>
      <x:c r="F27" s="9" t="str">
        <x:v>Design and internal estimates, not an official cost score.</x:v>
      </x:c>
    </x:row>
    <x:row r="28" ht="72" customHeight="1">
      <x:c r="A28" s="10" t="str">
        <x:v>P03</x:v>
      </x:c>
      <x:c r="B28" s="10" t="str">
        <x:v>Capacity canonical domain</x:v>
      </x:c>
      <x:c r="C28" s="10" t="str">
        <x:v>https://github.com/fm58cn6g4d-stack/project-2050/blob/e15c5c4a711b4cd2b482bac8300de45f2e08721f/domains/domain-capacity.md</x:v>
      </x:c>
      <x:c r="D28" s="10" t="str">
        <x:v>e15c5c4a711b4cd2b482bac8300de45f2e08721f</x:v>
      </x:c>
      <x:c r="E28" s="10" t="str">
        <x:v>CMS implementation annex; CAP-7/7S; Open items 8</x:v>
      </x:c>
      <x:c r="F28" s="10" t="str">
        <x:v>Preserve all stable work-package IDs and unpriced costs.</x:v>
      </x:c>
    </x:row>
    <x:row r="29" ht="72" customHeight="1">
      <x:c r="A29" s="9" t="str">
        <x:v>P04</x:v>
      </x:c>
      <x:c r="B29" s="9" t="str">
        <x:v>CMS cost register</x:v>
      </x:c>
      <x:c r="C29" s="9" t="str">
        <x:v>https://github.com/fm58cn6g4d-stack/project-2050/blob/e15c5c4a711b4cd2b482bac8300de45f2e08721f/sources/health-cms-implementation-cost-register.csv</x:v>
      </x:c>
      <x:c r="D29" s="9" t="str">
        <x:v>e15c5c4a711b4cd2b482bac8300de45f2e08721f</x:v>
      </x:c>
      <x:c r="E29" s="9" t="str">
        <x:v>CMS-IMP-01, 02, 06, 08, 11, 13</x:v>
      </x:c>
      <x:c r="F29" s="9" t="str">
        <x:v>Hand-written register left unchanged; all original amounts blank.</x:v>
      </x:c>
    </x:row>
    <x:row r="30" ht="72" customHeight="1">
      <x:c r="A30" s="10" t="str">
        <x:v>P05</x:v>
      </x:c>
      <x:c r="B30" s="10" t="str">
        <x:v>Capacity funding model</x:v>
      </x:c>
      <x:c r="C30" s="10" t="str">
        <x:v>https://github.com/fm58cn6g4d-stack/project-2050/blob/e15c5c4a711b4cd2b482bac8300de45f2e08721f/index/capacity-funding-model.md</x:v>
      </x:c>
      <x:c r="D30" s="10" t="str">
        <x:v>e15c5c4a711b4cd2b482bac8300de45f2e08721f</x:v>
      </x:c>
      <x:c r="E30" s="10" t="str">
        <x:v>Main fiscal results; availability versus cash</x:v>
      </x:c>
      <x:c r="F30" s="10" t="str">
        <x:v>Old proxy is not accelerated-path validation.</x:v>
      </x:c>
    </x:row>
    <x:row r="31" ht="72" customHeight="1">
      <x:c r="A31" s="9" t="str">
        <x:v>P06</x:v>
      </x:c>
      <x:c r="B31" s="9" t="str">
        <x:v>Shared instructions</x:v>
      </x:c>
      <x:c r="C31" s="9" t="str">
        <x:v>https://github.com/fm58cn6g4d-stack/project-2050/blob/e15c5c4a711b4cd2b482bac8300de45f2e08721f/governing/project-instructions.md</x:v>
      </x:c>
      <x:c r="D31" s="9" t="str">
        <x:v>e15c5c4a711b4cd2b482bac8300de45f2e08721f</x:v>
      </x:c>
      <x:c r="E31" s="9" t="str">
        <x:v>Working rules; Git; cross-tool work</x:v>
      </x:c>
      <x:c r="F31" s="9" t="str">
        <x:v>No canonical changes, fiscal-input changes, commits or PR in this assignment.</x:v>
      </x:c>
    </x:row>
    <x:row r="32" ht="72" customHeight="1">
      <x:c r="A32" s="10" t="str">
        <x:v>L01</x:v>
      </x:c>
      <x:c r="B32" s="10" t="str">
        <x:v>Approved charter</x:v>
      </x:c>
      <x:c r="C32" s="10" t="str">
        <x:v>project-2050-draft-charter-2026-10-22.md</x:v>
      </x:c>
      <x:c r="D32" s="10" t="str">
        <x:v>Library v13, modified 2026-10-23; supplied copy</x:v>
      </x:c>
      <x:c r="E32" s="10" t="str">
        <x:v>Sections 6–7; Appendices B–C</x:v>
      </x:c>
      <x:c r="F32" s="10" t="str">
        <x:v>Approved development task; illustrative designs remain proposals.</x:v>
      </x:c>
    </x:row>
    <x:row r="33" ht="72" customHeight="1">
      <x:c r="A33" s="9" t="str">
        <x:v>L02</x:v>
      </x:c>
      <x:c r="B33" s="9" t="str">
        <x:v>Annotated bibliography report</x:v>
      </x:c>
      <x:c r="C33" s="9" t="str">
        <x:v>Project 2050: Prioritized Annotated Bibliography and Research Architecture</x:v>
      </x:c>
      <x:c r="D33" s="9" t="str">
        <x:v>Report created 2026-10-22; JSON version 1</x:v>
      </x:c>
      <x:c r="E33" s="9" t="str">
        <x:v>Full report text, all 81 annotations, pathways and timetable</x:v>
      </x:c>
      <x:c r="F33" s="9" t="str">
        <x:v>Read from supplied local JSON; underlying publications reviewed only as specified above.</x:v>
      </x:c>
    </x:row>
    <x:row r="34" ht="72" customHeight="1">
      <x:c r="A34" s="10" t="str">
        <x:v>L03</x:v>
      </x:c>
      <x:c r="B34" s="10" t="str">
        <x:v>Initial agenda assessment</x:v>
      </x:c>
      <x:c r="C34" s="10" t="str">
        <x:v>project-2050-initial-agenda-assessment-2026-10-23.md</x:v>
      </x:c>
      <x:c r="D34" s="10" t="str">
        <x:v>2026-10-23; source e15c5c4a711b4cd2b482bac8300de45f2e08721f</x:v>
      </x:c>
      <x:c r="E34" s="10" t="str">
        <x:v>Health/capacity matrices; priority 3; validation limits</x:v>
      </x:c>
      <x:c r="F34" s="10" t="str">
        <x:v>Findings verified within pilot scope; unrelated numerical models not rerun.</x:v>
      </x:c>
    </x:row>
    <x:row r="35" ht="72" customHeight="1">
      <x:c r="A35" s="9" t="str">
        <x:v>L04</x:v>
      </x:c>
      <x:c r="B35" s="9" t="str">
        <x:v>Espen writing guide</x:v>
      </x:c>
      <x:c r="C35" s="9" t="str">
        <x:v>Espen-Writing-Style-Guide.md</x:v>
      </x:c>
      <x:c r="D35" s="9" t="str">
        <x:v>Library version 2; content header Version 1</x:v>
      </x:c>
      <x:c r="E35" s="9" t="str">
        <x:v>Core voice; policy memo guidance; review</x:v>
      </x:c>
      <x:c r="F35" s="9" t="str">
        <x:v>Version-label discrepancy retained; guide used for prose.</x:v>
      </x:c>
    </x:row>
  </x:sheetData>
  <x:pageMargins left="0.7" right="0.7" top="0.75" bottom="0.75" header="0.3" footer="0.3"/>
  <x:tableParts count="1">
    <x:tablePart xmlns:r="http://schemas.openxmlformats.org/officeDocument/2006/relationships" r:id="R68d0c428e7d24f23"/>
  </x:tableParts>
</x:worksheet>
</file>